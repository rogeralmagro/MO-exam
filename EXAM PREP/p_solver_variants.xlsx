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riafernandeztello/Downloads/"/>
    </mc:Choice>
  </mc:AlternateContent>
  <xr:revisionPtr revIDLastSave="0" documentId="13_ncr:1_{8EB0D472-2DBB-C244-ACCA-5EF81F3E7580}" xr6:coauthVersionLast="47" xr6:coauthVersionMax="47" xr10:uidLastSave="{00000000-0000-0000-0000-000000000000}"/>
  <bookViews>
    <workbookView xWindow="0" yWindow="760" windowWidth="29400" windowHeight="17060" activeTab="2" xr2:uid="{00000000-000D-0000-FFFF-FFFF00000000}"/>
  </bookViews>
  <sheets>
    <sheet name="Read Me" sheetId="1" r:id="rId1"/>
    <sheet name="Triangular Solver" sheetId="2" r:id="rId2"/>
    <sheet name="Generic p Sol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11" i="3"/>
  <c r="G10" i="3"/>
  <c r="G9" i="3"/>
  <c r="K8" i="3"/>
  <c r="K12" i="3" s="1"/>
  <c r="G8" i="3"/>
  <c r="K7" i="3"/>
  <c r="G7" i="3"/>
  <c r="K6" i="3"/>
  <c r="G6" i="3"/>
  <c r="K5" i="3"/>
  <c r="G5" i="3"/>
  <c r="E7" i="2"/>
  <c r="E6" i="2"/>
  <c r="E8" i="2" s="1"/>
  <c r="E9" i="2" s="1"/>
  <c r="E5" i="2"/>
  <c r="E12" i="2" l="1"/>
  <c r="E10" i="2"/>
  <c r="E11" i="2" s="1"/>
  <c r="K9" i="3"/>
  <c r="K10" i="3" s="1"/>
  <c r="K13" i="3" l="1"/>
  <c r="K11" i="3"/>
</calcChain>
</file>

<file path=xl/sharedStrings.xml><?xml version="1.0" encoding="utf-8"?>
<sst xmlns="http://schemas.openxmlformats.org/spreadsheetml/2006/main" count="109" uniqueCount="97">
  <si>
    <t>Solver for distributed-load 'find p' questions</t>
  </si>
  <si>
    <t>This workbook solves ship-strength MCQ problems where p is found from buoyancy = total distributed weight.</t>
  </si>
  <si>
    <t>Sheet</t>
  </si>
  <si>
    <t>What it does</t>
  </si>
  <si>
    <t>Triangular Solver</t>
  </si>
  <si>
    <t>Symmetric triangular load over full length + uniform own weight = k·p along full length.</t>
  </si>
  <si>
    <t>Generic p Solver</t>
  </si>
  <si>
    <t>More flexible solver: optional full-length triangle + uniform own weight + extra piecewise constant segments c_i·p.</t>
  </si>
  <si>
    <t>Units</t>
  </si>
  <si>
    <t>Use rho in t/m^3 if you want p in tons/m. Default freshwater is 1.000 t/m^3.</t>
  </si>
  <si>
    <t>Key idea: area under the distributed-load diagram = total weight = displaced-water weight = rho·L·B·T.</t>
  </si>
  <si>
    <t>For a full-length symmetric triangle with peak p:</t>
  </si>
  <si>
    <t>Triangle total = 1/2·L·p</t>
  </si>
  <si>
    <t>For uniform own weight = k·p along the full length:</t>
  </si>
  <si>
    <t>Own-weight total = k·L·p</t>
  </si>
  <si>
    <t>So:</t>
  </si>
  <si>
    <t>p = rho·L·B·T / (0.5·L + k·L) = rho·B·T / (0.5 + k)</t>
  </si>
  <si>
    <t>Current example in your screenshot:</t>
  </si>
  <si>
    <t>L=40, B=6, T=3, freshwater, k=0.2  =&gt;  p ≈ 25.7 tons/m ≈ 26 tons/m</t>
  </si>
  <si>
    <t>Triangular gravel + uniform own weight solver</t>
  </si>
  <si>
    <t>Use this sheet for questions where the gravel/load is a symmetric triangle over the whole length and the barge's own weight is uniformly distributed as k·p.</t>
  </si>
  <si>
    <t>Input</t>
  </si>
  <si>
    <t>Value</t>
  </si>
  <si>
    <t>Output / Formula</t>
  </si>
  <si>
    <t>Result</t>
  </si>
  <si>
    <t>Water density rho (t/m^3)</t>
  </si>
  <si>
    <t>Displaced volume / equivalent weight in tons</t>
  </si>
  <si>
    <t>Length L (m)</t>
  </si>
  <si>
    <t>Triangle total coefficient (0.5·L·m)</t>
  </si>
  <si>
    <t>Breadth B (m)</t>
  </si>
  <si>
    <t>Uniform own-weight coefficient (k·L)</t>
  </si>
  <si>
    <t>Draught T (m)</t>
  </si>
  <si>
    <t>Total multiplier on p</t>
  </si>
  <si>
    <t>Own-weight coefficient k (uniform intensity = k·p)</t>
  </si>
  <si>
    <t>Solved p (tons/m if rho is in t/m^3)</t>
  </si>
  <si>
    <t>Triangle peak multiplier m (default 1, load peak = m·p)</t>
  </si>
  <si>
    <t>Rounded p</t>
  </si>
  <si>
    <t>Selected option in your screenshot</t>
  </si>
  <si>
    <t>Check</t>
  </si>
  <si>
    <t>Compact derivation: rho·L·B·T = (1/2·L·m·p) + (k·L·p)  -&gt;  p = rho·B·T / (0.5·m + k)</t>
  </si>
  <si>
    <t>Question type</t>
  </si>
  <si>
    <t>Formula for total load</t>
  </si>
  <si>
    <t>How to solve p</t>
  </si>
  <si>
    <t>Symmetric triangle + own weight</t>
  </si>
  <si>
    <t>(1/2·L·m·p) + (k·L·p)</t>
  </si>
  <si>
    <t>p = rho·L·B·T / [L(0.5·m + k)]</t>
  </si>
  <si>
    <t>No own weight</t>
  </si>
  <si>
    <t>(1/2·L·m·p)</t>
  </si>
  <si>
    <t>p = 2·rho·B·T / m</t>
  </si>
  <si>
    <t>Only uniform load c·p</t>
  </si>
  <si>
    <t>(c·L·p)</t>
  </si>
  <si>
    <t>p = rho·B·T / c</t>
  </si>
  <si>
    <t>Freshwater shortcut</t>
  </si>
  <si>
    <t>rho = 1.000 t/m^3</t>
  </si>
  <si>
    <t>Then buoyancy in tons = L·B·T</t>
  </si>
  <si>
    <t>Saltwater shortcut</t>
  </si>
  <si>
    <t>rho ≈ 1.025 t/m^3</t>
  </si>
  <si>
    <t>Then buoyancy in tons = 1.025·L·B·T</t>
  </si>
  <si>
    <t>Generic p Solver (variants included)</t>
  </si>
  <si>
    <t>This sheet handles variants: optional full-length symmetric triangle + optional uniform own weight + optional extra piecewise constant blocks with intensity c_i·p.</t>
  </si>
  <si>
    <t>Global input</t>
  </si>
  <si>
    <t>Extra constant segments</t>
  </si>
  <si>
    <t>Length (m)</t>
  </si>
  <si>
    <t>Intensity coefficient c_i</t>
  </si>
  <si>
    <t>Contribution length·c_i</t>
  </si>
  <si>
    <t>Notes</t>
  </si>
  <si>
    <t>Segment 1</t>
  </si>
  <si>
    <t>Buoyancy / total weight (tons)</t>
  </si>
  <si>
    <t>Segment 2</t>
  </si>
  <si>
    <t>Triangle contribution coefficient = 0.5·L·m</t>
  </si>
  <si>
    <t>Segment 3</t>
  </si>
  <si>
    <t>Uniform own-weight coefficient = k·L</t>
  </si>
  <si>
    <t>Segment 4</t>
  </si>
  <si>
    <t>Extra-segment coefficient sum</t>
  </si>
  <si>
    <t>Triangle peak multiplier m (0 if no triangle)</t>
  </si>
  <si>
    <t>Segment 5</t>
  </si>
  <si>
    <t>Uniform own-weight coefficient k (0 if none)</t>
  </si>
  <si>
    <t>Segment 6</t>
  </si>
  <si>
    <t>Segment 7</t>
  </si>
  <si>
    <t>Segment 8</t>
  </si>
  <si>
    <t>Shortcut if no extra segments</t>
  </si>
  <si>
    <t>Variant note</t>
  </si>
  <si>
    <t>Generic equation: rho·L·B·T = [0.5·L·m + k·L + Σ(c_i·length_i)]·p</t>
  </si>
  <si>
    <t>Example A (current screenshot)</t>
  </si>
  <si>
    <t>triangle on, m=1</t>
  </si>
  <si>
    <t>k=0.2</t>
  </si>
  <si>
    <t>no extra segments</t>
  </si>
  <si>
    <t>Example B (same style as earlier mock/example)</t>
  </si>
  <si>
    <t>k=0.1</t>
  </si>
  <si>
    <t>Example C (piecewise blocks only)</t>
  </si>
  <si>
    <t>triangle off -&gt; m=0</t>
  </si>
  <si>
    <t>k=0</t>
  </si>
  <si>
    <t>enter c_i and lengths</t>
  </si>
  <si>
    <t>Example D (triangle + extra deck cargo blocks)</t>
  </si>
  <si>
    <t>triangle on</t>
  </si>
  <si>
    <t>any k</t>
  </si>
  <si>
    <t>add segments 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</si>
</sst>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444444"/>
      <name val="Carlito"/>
    </font>
    <font>
      <b/>
      <sz val="11"/>
      <name val="Carlito"/>
    </font>
    <font>
      <b/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777777"/>
      </left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 style="thin">
        <color rgb="FF777777"/>
      </left>
      <right/>
      <top/>
      <bottom/>
      <diagonal/>
    </border>
    <border>
      <left/>
      <right style="thin">
        <color rgb="FF777777"/>
      </right>
      <top/>
      <bottom/>
      <diagonal/>
    </border>
    <border>
      <left style="thin">
        <color rgb="FF777777"/>
      </left>
      <right/>
      <top/>
      <bottom style="thin">
        <color rgb="FF777777"/>
      </bottom>
      <diagonal/>
    </border>
    <border>
      <left/>
      <right style="thin">
        <color rgb="FF777777"/>
      </right>
      <top/>
      <bottom style="thin">
        <color rgb="FF777777"/>
      </bottom>
      <diagonal/>
    </border>
    <border>
      <left/>
      <right/>
      <top style="thin">
        <color rgb="FF777777"/>
      </top>
      <bottom/>
      <diagonal/>
    </border>
    <border>
      <left/>
      <right/>
      <top/>
      <bottom style="thin">
        <color rgb="FF77777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64" fontId="0" fillId="0" borderId="2" xfId="0" applyNumberFormat="1" applyBorder="1" applyAlignment="1">
      <alignment wrapText="1"/>
    </xf>
    <xf numFmtId="0" fontId="3" fillId="0" borderId="3" xfId="0" applyFont="1" applyBorder="1" applyAlignment="1">
      <alignment wrapText="1"/>
    </xf>
    <xf numFmtId="164" fontId="0" fillId="0" borderId="4" xfId="0" applyNumberFormat="1" applyBorder="1" applyAlignment="1">
      <alignment wrapText="1"/>
    </xf>
    <xf numFmtId="0" fontId="3" fillId="0" borderId="5" xfId="0" applyFont="1" applyBorder="1" applyAlignment="1">
      <alignment wrapText="1"/>
    </xf>
    <xf numFmtId="164" fontId="0" fillId="0" borderId="6" xfId="0" applyNumberFormat="1" applyBorder="1" applyAlignment="1">
      <alignment wrapText="1"/>
    </xf>
    <xf numFmtId="164" fontId="0" fillId="0" borderId="7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8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D6" sqref="D6"/>
    </sheetView>
  </sheetViews>
  <sheetFormatPr baseColWidth="10" defaultColWidth="8.83203125" defaultRowHeight="15"/>
  <cols>
    <col min="1" max="1" width="21.83203125" style="3" bestFit="1" customWidth="1"/>
    <col min="2" max="2" width="57.33203125" style="3" bestFit="1" customWidth="1"/>
    <col min="3" max="6" width="24" style="3" customWidth="1"/>
    <col min="7" max="16384" width="8.83203125" style="3"/>
  </cols>
  <sheetData>
    <row r="1" spans="1:6" ht="18">
      <c r="A1" s="14" t="s">
        <v>0</v>
      </c>
      <c r="B1" s="14"/>
      <c r="C1" s="14"/>
      <c r="D1" s="14"/>
      <c r="E1" s="14"/>
      <c r="F1" s="14"/>
    </row>
    <row r="2" spans="1:6">
      <c r="A2" s="13" t="s">
        <v>1</v>
      </c>
      <c r="B2" s="13"/>
      <c r="C2" s="13"/>
      <c r="D2" s="13"/>
      <c r="E2" s="13"/>
      <c r="F2" s="13"/>
    </row>
    <row r="4" spans="1:6" ht="16">
      <c r="A4" s="8" t="s">
        <v>2</v>
      </c>
      <c r="B4" s="10" t="s">
        <v>3</v>
      </c>
    </row>
    <row r="5" spans="1:6" ht="32">
      <c r="A5" s="6" t="s">
        <v>4</v>
      </c>
      <c r="B5" s="1" t="s">
        <v>5</v>
      </c>
    </row>
    <row r="6" spans="1:6" ht="32">
      <c r="A6" s="6" t="s">
        <v>6</v>
      </c>
      <c r="B6" s="1" t="s">
        <v>7</v>
      </c>
    </row>
    <row r="7" spans="1:6" ht="32">
      <c r="A7" s="7" t="s">
        <v>8</v>
      </c>
      <c r="B7" s="2" t="s">
        <v>9</v>
      </c>
    </row>
    <row r="9" spans="1:6">
      <c r="A9" s="15" t="s">
        <v>10</v>
      </c>
      <c r="B9" s="15"/>
      <c r="C9" s="15"/>
      <c r="D9" s="15"/>
      <c r="E9" s="15"/>
      <c r="F9" s="15"/>
    </row>
    <row r="10" spans="1:6" ht="48">
      <c r="A10" s="4" t="s">
        <v>11</v>
      </c>
      <c r="B10" s="5" t="s">
        <v>12</v>
      </c>
    </row>
    <row r="11" spans="1:6" ht="32">
      <c r="A11" s="6" t="s">
        <v>13</v>
      </c>
      <c r="B11" s="1" t="s">
        <v>14</v>
      </c>
    </row>
    <row r="12" spans="1:6" ht="16">
      <c r="A12" s="6" t="s">
        <v>15</v>
      </c>
      <c r="B12" s="1" t="s">
        <v>16</v>
      </c>
    </row>
    <row r="13" spans="1:6" ht="32">
      <c r="A13" s="7" t="s">
        <v>17</v>
      </c>
      <c r="B13" s="2" t="s">
        <v>18</v>
      </c>
    </row>
    <row r="17" s="3" customFormat="1"/>
    <row r="18" s="3" customFormat="1"/>
    <row r="19" s="3" customFormat="1"/>
    <row r="20" s="3" customFormat="1"/>
  </sheetData>
  <mergeCells count="3">
    <mergeCell ref="A1:F1"/>
    <mergeCell ref="A2:F2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F8" sqref="F8"/>
    </sheetView>
  </sheetViews>
  <sheetFormatPr baseColWidth="10" defaultColWidth="8.83203125" defaultRowHeight="15"/>
  <cols>
    <col min="1" max="1" width="42.1640625" style="3" bestFit="1" customWidth="1"/>
    <col min="2" max="2" width="16" style="3" customWidth="1"/>
    <col min="3" max="3" width="16.33203125" style="3" bestFit="1" customWidth="1"/>
    <col min="4" max="4" width="33.5" style="3" bestFit="1" customWidth="1"/>
    <col min="5" max="5" width="14.33203125" style="3" bestFit="1" customWidth="1"/>
    <col min="6" max="9" width="18" style="3" customWidth="1"/>
    <col min="10" max="10" width="36" style="3" customWidth="1"/>
    <col min="11" max="11" width="18" style="3" customWidth="1"/>
    <col min="12" max="16384" width="8.83203125" style="3"/>
  </cols>
  <sheetData>
    <row r="1" spans="1:6" ht="18">
      <c r="A1" s="14" t="s">
        <v>19</v>
      </c>
      <c r="B1" s="14"/>
      <c r="C1" s="14"/>
      <c r="D1" s="14"/>
      <c r="E1" s="14"/>
      <c r="F1" s="14"/>
    </row>
    <row r="2" spans="1:6">
      <c r="A2" s="13" t="s">
        <v>20</v>
      </c>
      <c r="B2" s="13"/>
      <c r="C2" s="13"/>
      <c r="D2" s="13"/>
      <c r="E2" s="13"/>
      <c r="F2" s="13"/>
    </row>
    <row r="4" spans="1:6" ht="16">
      <c r="A4" s="16" t="s">
        <v>21</v>
      </c>
      <c r="B4" s="16" t="s">
        <v>22</v>
      </c>
      <c r="D4" s="16" t="s">
        <v>23</v>
      </c>
      <c r="E4" s="16" t="s">
        <v>24</v>
      </c>
    </row>
    <row r="5" spans="1:6" ht="32">
      <c r="A5" s="17" t="s">
        <v>25</v>
      </c>
      <c r="B5" s="18">
        <v>1</v>
      </c>
      <c r="D5" s="17" t="s">
        <v>26</v>
      </c>
      <c r="E5" s="18">
        <f>B5*B6*B7*B8</f>
        <v>720</v>
      </c>
    </row>
    <row r="6" spans="1:6" ht="16">
      <c r="A6" s="19" t="s">
        <v>27</v>
      </c>
      <c r="B6" s="20">
        <v>40</v>
      </c>
      <c r="D6" s="19" t="s">
        <v>28</v>
      </c>
      <c r="E6" s="20">
        <f>0.5*B6*B10</f>
        <v>20</v>
      </c>
    </row>
    <row r="7" spans="1:6" ht="32">
      <c r="A7" s="19" t="s">
        <v>29</v>
      </c>
      <c r="B7" s="20">
        <v>6</v>
      </c>
      <c r="D7" s="19" t="s">
        <v>30</v>
      </c>
      <c r="E7" s="20">
        <f>B9*B6</f>
        <v>8</v>
      </c>
    </row>
    <row r="8" spans="1:6" ht="16">
      <c r="A8" s="19" t="s">
        <v>31</v>
      </c>
      <c r="B8" s="20">
        <v>3</v>
      </c>
      <c r="D8" s="19" t="s">
        <v>32</v>
      </c>
      <c r="E8" s="20">
        <f>E6+E7</f>
        <v>28</v>
      </c>
    </row>
    <row r="9" spans="1:6" ht="32">
      <c r="A9" s="19" t="s">
        <v>33</v>
      </c>
      <c r="B9" s="20">
        <v>0.2</v>
      </c>
      <c r="D9" s="19" t="s">
        <v>34</v>
      </c>
      <c r="E9" s="20">
        <f>E5/E8</f>
        <v>25.714285714285715</v>
      </c>
    </row>
    <row r="10" spans="1:6" ht="32">
      <c r="A10" s="21" t="s">
        <v>35</v>
      </c>
      <c r="B10" s="22">
        <v>1</v>
      </c>
      <c r="D10" s="19" t="s">
        <v>36</v>
      </c>
      <c r="E10" s="20">
        <f>ROUND(E9,0)</f>
        <v>26</v>
      </c>
    </row>
    <row r="11" spans="1:6" ht="16">
      <c r="D11" s="19" t="s">
        <v>37</v>
      </c>
      <c r="E11" s="20" t="str">
        <f>IF(E10=26,"B. p = 26 tons/m","Check inputs/options")</f>
        <v>B. p = 26 tons/m</v>
      </c>
    </row>
    <row r="12" spans="1:6" ht="32">
      <c r="D12" s="21" t="s">
        <v>38</v>
      </c>
      <c r="E12" s="22" t="str">
        <f>IF(ABS(E9-25.714285714)&lt;0.01,"Matches the example","General solver result")</f>
        <v>Matches the example</v>
      </c>
    </row>
    <row r="13" spans="1:6">
      <c r="A13" s="15" t="s">
        <v>39</v>
      </c>
      <c r="B13" s="15"/>
      <c r="C13" s="15"/>
      <c r="D13" s="15"/>
      <c r="E13" s="15"/>
      <c r="F13" s="15"/>
    </row>
    <row r="15" spans="1:6" ht="32">
      <c r="A15" s="8" t="s">
        <v>40</v>
      </c>
      <c r="B15" s="9" t="s">
        <v>41</v>
      </c>
      <c r="C15" s="10" t="s">
        <v>42</v>
      </c>
    </row>
    <row r="16" spans="1:6" ht="32">
      <c r="A16" s="6" t="s">
        <v>43</v>
      </c>
      <c r="B16" s="3" t="s">
        <v>44</v>
      </c>
      <c r="C16" s="1" t="s">
        <v>45</v>
      </c>
    </row>
    <row r="17" spans="1:3" ht="16">
      <c r="A17" s="6" t="s">
        <v>46</v>
      </c>
      <c r="B17" s="3" t="s">
        <v>47</v>
      </c>
      <c r="C17" s="1" t="s">
        <v>48</v>
      </c>
    </row>
    <row r="18" spans="1:3" ht="16">
      <c r="A18" s="6" t="s">
        <v>49</v>
      </c>
      <c r="B18" s="3" t="s">
        <v>50</v>
      </c>
      <c r="C18" s="1" t="s">
        <v>51</v>
      </c>
    </row>
    <row r="19" spans="1:3" ht="32">
      <c r="A19" s="6" t="s">
        <v>52</v>
      </c>
      <c r="B19" s="3" t="s">
        <v>53</v>
      </c>
      <c r="C19" s="1" t="s">
        <v>54</v>
      </c>
    </row>
    <row r="20" spans="1:3" ht="32">
      <c r="A20" s="7" t="s">
        <v>55</v>
      </c>
      <c r="B20" s="11" t="s">
        <v>56</v>
      </c>
      <c r="C20" s="2" t="s">
        <v>57</v>
      </c>
    </row>
  </sheetData>
  <mergeCells count="3">
    <mergeCell ref="A1:F1"/>
    <mergeCell ref="A2:F2"/>
    <mergeCell ref="A13:F13"/>
  </mergeCells>
  <conditionalFormatting sqref="E9:E10">
    <cfRule type="colorScale" priority="1">
      <colorScale>
        <cfvo type="min"/>
        <cfvo type="percentile" val="50"/>
        <cfvo type="max"/>
        <color rgb="FFFFF2CC"/>
        <color rgb="FFFFE699"/>
        <color rgb="FFF4B18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workbookViewId="0">
      <selection activeCell="F16" sqref="F16"/>
    </sheetView>
  </sheetViews>
  <sheetFormatPr baseColWidth="10" defaultColWidth="8.83203125" defaultRowHeight="15"/>
  <cols>
    <col min="1" max="1" width="41.6640625" style="3" bestFit="1" customWidth="1"/>
    <col min="2" max="2" width="15.6640625" style="3" bestFit="1" customWidth="1"/>
    <col min="3" max="3" width="5.6640625" style="3" bestFit="1" customWidth="1"/>
    <col min="4" max="4" width="23.5" style="3" bestFit="1" customWidth="1"/>
    <col min="5" max="5" width="11" style="3" bestFit="1" customWidth="1"/>
    <col min="6" max="6" width="13.5" style="3" bestFit="1" customWidth="1"/>
    <col min="7" max="7" width="12.5" style="3" bestFit="1" customWidth="1"/>
    <col min="8" max="8" width="6.33203125" style="3" bestFit="1" customWidth="1"/>
    <col min="9" max="9" width="18" style="3" customWidth="1"/>
    <col min="10" max="10" width="33.83203125" style="3" bestFit="1" customWidth="1"/>
    <col min="11" max="11" width="17.6640625" style="3" bestFit="1" customWidth="1"/>
    <col min="12" max="16384" width="8.83203125" style="3"/>
  </cols>
  <sheetData>
    <row r="1" spans="1:11" ht="18">
      <c r="A1" s="14" t="s">
        <v>58</v>
      </c>
      <c r="B1" s="14"/>
      <c r="C1" s="14"/>
      <c r="D1" s="14"/>
      <c r="E1" s="14"/>
      <c r="F1" s="14"/>
      <c r="G1" s="14"/>
      <c r="H1" s="14"/>
      <c r="I1" s="14"/>
      <c r="J1" s="14"/>
    </row>
    <row r="2" spans="1:11">
      <c r="A2" s="13" t="s">
        <v>59</v>
      </c>
      <c r="B2" s="13"/>
      <c r="C2" s="13"/>
      <c r="D2" s="13"/>
      <c r="E2" s="13"/>
      <c r="F2" s="13"/>
      <c r="G2" s="13"/>
      <c r="H2" s="13"/>
      <c r="I2" s="13"/>
      <c r="J2" s="13"/>
    </row>
    <row r="4" spans="1:11" ht="32">
      <c r="A4" s="16" t="s">
        <v>60</v>
      </c>
      <c r="B4" s="16" t="s">
        <v>22</v>
      </c>
      <c r="D4" s="16" t="s">
        <v>61</v>
      </c>
      <c r="E4" s="16" t="s">
        <v>62</v>
      </c>
      <c r="F4" s="16" t="s">
        <v>63</v>
      </c>
      <c r="G4" s="16" t="s">
        <v>64</v>
      </c>
      <c r="H4" s="16" t="s">
        <v>65</v>
      </c>
      <c r="J4" s="16" t="s">
        <v>23</v>
      </c>
      <c r="K4" s="16" t="s">
        <v>24</v>
      </c>
    </row>
    <row r="5" spans="1:11" ht="16">
      <c r="A5" s="17" t="s">
        <v>25</v>
      </c>
      <c r="B5" s="18">
        <v>1</v>
      </c>
      <c r="D5" s="17" t="s">
        <v>66</v>
      </c>
      <c r="E5" s="23"/>
      <c r="F5" s="23"/>
      <c r="G5" s="23">
        <f t="shared" ref="G5:G12" si="0">IF(OR(E5="",F5=""),0,E5*F5)</f>
        <v>0</v>
      </c>
      <c r="H5" s="5"/>
      <c r="J5" s="17" t="s">
        <v>67</v>
      </c>
      <c r="K5" s="18">
        <f>B5*B6*B7*B8</f>
        <v>720</v>
      </c>
    </row>
    <row r="6" spans="1:11" ht="32">
      <c r="A6" s="19" t="s">
        <v>27</v>
      </c>
      <c r="B6" s="20">
        <v>40</v>
      </c>
      <c r="D6" s="19" t="s">
        <v>68</v>
      </c>
      <c r="E6" s="24"/>
      <c r="F6" s="24"/>
      <c r="G6" s="24">
        <f t="shared" si="0"/>
        <v>0</v>
      </c>
      <c r="H6" s="1"/>
      <c r="J6" s="19" t="s">
        <v>69</v>
      </c>
      <c r="K6" s="20">
        <f>0.5*B6*B9</f>
        <v>20</v>
      </c>
    </row>
    <row r="7" spans="1:11" ht="16">
      <c r="A7" s="19" t="s">
        <v>29</v>
      </c>
      <c r="B7" s="20">
        <v>6</v>
      </c>
      <c r="D7" s="19" t="s">
        <v>70</v>
      </c>
      <c r="E7" s="24"/>
      <c r="F7" s="24"/>
      <c r="G7" s="24">
        <f t="shared" si="0"/>
        <v>0</v>
      </c>
      <c r="H7" s="1"/>
      <c r="J7" s="19" t="s">
        <v>71</v>
      </c>
      <c r="K7" s="20">
        <f>B10*B6</f>
        <v>8</v>
      </c>
    </row>
    <row r="8" spans="1:11" ht="16">
      <c r="A8" s="19" t="s">
        <v>31</v>
      </c>
      <c r="B8" s="20">
        <v>3</v>
      </c>
      <c r="D8" s="19" t="s">
        <v>72</v>
      </c>
      <c r="E8" s="24"/>
      <c r="F8" s="24"/>
      <c r="G8" s="24">
        <f t="shared" si="0"/>
        <v>0</v>
      </c>
      <c r="H8" s="1"/>
      <c r="J8" s="19" t="s">
        <v>73</v>
      </c>
      <c r="K8" s="20">
        <f>SUM(G5:G12)</f>
        <v>0</v>
      </c>
    </row>
    <row r="9" spans="1:11" ht="16">
      <c r="A9" s="19" t="s">
        <v>74</v>
      </c>
      <c r="B9" s="20">
        <v>1</v>
      </c>
      <c r="D9" s="19" t="s">
        <v>75</v>
      </c>
      <c r="E9" s="24"/>
      <c r="F9" s="24"/>
      <c r="G9" s="24">
        <f t="shared" si="0"/>
        <v>0</v>
      </c>
      <c r="H9" s="1"/>
      <c r="J9" s="19" t="s">
        <v>32</v>
      </c>
      <c r="K9" s="20">
        <f>K6+K7+K8</f>
        <v>28</v>
      </c>
    </row>
    <row r="10" spans="1:11" ht="16">
      <c r="A10" s="21" t="s">
        <v>76</v>
      </c>
      <c r="B10" s="22">
        <v>0.2</v>
      </c>
      <c r="D10" s="19" t="s">
        <v>77</v>
      </c>
      <c r="E10" s="24"/>
      <c r="F10" s="24"/>
      <c r="G10" s="24">
        <f t="shared" si="0"/>
        <v>0</v>
      </c>
      <c r="H10" s="1"/>
      <c r="J10" s="19" t="s">
        <v>34</v>
      </c>
      <c r="K10" s="20">
        <f>IF(K9=0,"",K5/K9)</f>
        <v>25.714285714285715</v>
      </c>
    </row>
    <row r="11" spans="1:11" ht="16">
      <c r="D11" s="19" t="s">
        <v>78</v>
      </c>
      <c r="E11" s="24"/>
      <c r="F11" s="24"/>
      <c r="G11" s="24">
        <f t="shared" si="0"/>
        <v>0</v>
      </c>
      <c r="H11" s="1"/>
      <c r="J11" s="19" t="s">
        <v>36</v>
      </c>
      <c r="K11" s="20">
        <f>IF(K10="","",ROUND(K10,0))</f>
        <v>26</v>
      </c>
    </row>
    <row r="12" spans="1:11" ht="32">
      <c r="D12" s="21" t="s">
        <v>79</v>
      </c>
      <c r="E12" s="25"/>
      <c r="F12" s="25"/>
      <c r="G12" s="25">
        <f t="shared" si="0"/>
        <v>0</v>
      </c>
      <c r="H12" s="2"/>
      <c r="J12" s="19" t="s">
        <v>80</v>
      </c>
      <c r="K12" s="20" t="str">
        <f>IF(K8=0,"p = rho·B·T/(0.5·m + k)","Use full generic formula")</f>
        <v>p = rho·B·T/(0.5·m + k)</v>
      </c>
    </row>
    <row r="13" spans="1:11" ht="32">
      <c r="J13" s="21" t="s">
        <v>81</v>
      </c>
      <c r="K13" s="22" t="str">
        <f>IF(ABS(K10-25.714285714)&lt;0.01,"Current example loaded","Generic variant mode")</f>
        <v>Current example loaded</v>
      </c>
    </row>
    <row r="14" spans="1:11">
      <c r="A14" s="15" t="s">
        <v>82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16">
      <c r="A15" s="4" t="s">
        <v>83</v>
      </c>
      <c r="B15" s="12" t="s">
        <v>84</v>
      </c>
      <c r="C15" s="12" t="s">
        <v>85</v>
      </c>
      <c r="D15" s="5" t="s">
        <v>86</v>
      </c>
    </row>
    <row r="16" spans="1:11" ht="16">
      <c r="A16" s="6" t="s">
        <v>87</v>
      </c>
      <c r="B16" s="3" t="s">
        <v>84</v>
      </c>
      <c r="C16" s="3" t="s">
        <v>88</v>
      </c>
      <c r="D16" s="1" t="s">
        <v>86</v>
      </c>
    </row>
    <row r="17" spans="1:4" ht="16">
      <c r="A17" s="6" t="s">
        <v>89</v>
      </c>
      <c r="B17" s="3" t="s">
        <v>90</v>
      </c>
      <c r="C17" s="3" t="s">
        <v>91</v>
      </c>
      <c r="D17" s="1" t="s">
        <v>92</v>
      </c>
    </row>
    <row r="18" spans="1:4" ht="16">
      <c r="A18" s="7" t="s">
        <v>93</v>
      </c>
      <c r="B18" s="11" t="s">
        <v>94</v>
      </c>
      <c r="C18" s="11" t="s">
        <v>95</v>
      </c>
      <c r="D18" s="2" t="s">
        <v>96</v>
      </c>
    </row>
  </sheetData>
  <mergeCells count="3">
    <mergeCell ref="A1:J1"/>
    <mergeCell ref="A2:J2"/>
    <mergeCell ref="A14:K14"/>
  </mergeCells>
  <conditionalFormatting sqref="K10:K11">
    <cfRule type="colorScale" priority="1">
      <colorScale>
        <cfvo type="min"/>
        <cfvo type="percentile" val="50"/>
        <cfvo type="max"/>
        <color rgb="FFFFF2CC"/>
        <color rgb="FFFFE699"/>
        <color rgb="FFF4B18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Triangular Solver</vt:lpstr>
      <vt:lpstr>Generic p 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Fernandez Tello</cp:lastModifiedBy>
  <dcterms:modified xsi:type="dcterms:W3CDTF">2026-05-13T14:58:44Z</dcterms:modified>
</cp:coreProperties>
</file>