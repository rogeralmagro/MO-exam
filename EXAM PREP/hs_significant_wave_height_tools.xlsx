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mariafernandeztello/Downloads/EXAM PREP/"/>
    </mc:Choice>
  </mc:AlternateContent>
  <xr:revisionPtr revIDLastSave="0" documentId="13_ncr:1_{8A230452-5A6A-574E-AF51-18C2C1C4E75A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Read Me" sheetId="1" r:id="rId1"/>
    <sheet name="Hs_from_waves" sheetId="2" r:id="rId2"/>
    <sheet name="Hs_from_spectrum" sheetId="3" r:id="rId3"/>
    <sheet name="Example_sorted_15" sheetId="4" r:id="rId4"/>
    <sheet name="Example_spectr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5" l="1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B4" i="5" s="1"/>
  <c r="B5" i="5" s="1"/>
  <c r="B9" i="4"/>
  <c r="B8" i="4"/>
  <c r="B7" i="4"/>
  <c r="B6" i="4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B4" i="3" s="1"/>
  <c r="B5" i="3" s="1"/>
  <c r="C13" i="3"/>
  <c r="H14" i="2"/>
  <c r="B4" i="2"/>
  <c r="G38" i="2" s="1"/>
  <c r="F31" i="2" l="1"/>
  <c r="G17" i="2"/>
  <c r="H38" i="2"/>
  <c r="F27" i="2"/>
  <c r="F41" i="2"/>
  <c r="F37" i="2"/>
  <c r="F17" i="2"/>
  <c r="H23" i="2"/>
  <c r="H37" i="2"/>
  <c r="H24" i="2"/>
  <c r="F32" i="2"/>
  <c r="H17" i="2"/>
  <c r="F25" i="2"/>
  <c r="G32" i="2"/>
  <c r="H39" i="2"/>
  <c r="H18" i="2"/>
  <c r="F26" i="2"/>
  <c r="H32" i="2"/>
  <c r="F40" i="2"/>
  <c r="H19" i="2"/>
  <c r="H33" i="2"/>
  <c r="B7" i="2"/>
  <c r="F20" i="2"/>
  <c r="G27" i="2"/>
  <c r="H34" i="2"/>
  <c r="F42" i="2"/>
  <c r="H13" i="2"/>
  <c r="F21" i="2"/>
  <c r="H27" i="2"/>
  <c r="F35" i="2"/>
  <c r="G42" i="2"/>
  <c r="F22" i="2"/>
  <c r="H28" i="2"/>
  <c r="F36" i="2"/>
  <c r="H42" i="2"/>
  <c r="F15" i="2"/>
  <c r="G22" i="2"/>
  <c r="H29" i="2"/>
  <c r="F16" i="2"/>
  <c r="H22" i="2"/>
  <c r="F30" i="2"/>
  <c r="G37" i="2"/>
  <c r="G16" i="2"/>
  <c r="G21" i="2"/>
  <c r="G26" i="2"/>
  <c r="G31" i="2"/>
  <c r="G36" i="2"/>
  <c r="G41" i="2"/>
  <c r="B5" i="2"/>
  <c r="F14" i="2"/>
  <c r="H16" i="2"/>
  <c r="F19" i="2"/>
  <c r="H21" i="2"/>
  <c r="F24" i="2"/>
  <c r="H26" i="2"/>
  <c r="F29" i="2"/>
  <c r="H31" i="2"/>
  <c r="F34" i="2"/>
  <c r="H36" i="2"/>
  <c r="F39" i="2"/>
  <c r="H41" i="2"/>
  <c r="B6" i="2"/>
  <c r="G14" i="2"/>
  <c r="G19" i="2"/>
  <c r="G24" i="2"/>
  <c r="G29" i="2"/>
  <c r="G34" i="2"/>
  <c r="G39" i="2"/>
  <c r="G15" i="2"/>
  <c r="G20" i="2"/>
  <c r="G25" i="2"/>
  <c r="G30" i="2"/>
  <c r="G35" i="2"/>
  <c r="G40" i="2"/>
  <c r="F13" i="2"/>
  <c r="H15" i="2"/>
  <c r="F18" i="2"/>
  <c r="H20" i="2"/>
  <c r="F23" i="2"/>
  <c r="H25" i="2"/>
  <c r="F28" i="2"/>
  <c r="H30" i="2"/>
  <c r="F33" i="2"/>
  <c r="H35" i="2"/>
  <c r="F38" i="2"/>
  <c r="H40" i="2"/>
  <c r="G13" i="2"/>
  <c r="G18" i="2"/>
  <c r="G23" i="2"/>
  <c r="G28" i="2"/>
  <c r="G33" i="2"/>
  <c r="B9" i="2" l="1"/>
  <c r="B8" i="2"/>
</calcChain>
</file>

<file path=xl/sharedStrings.xml><?xml version="1.0" encoding="utf-8"?>
<sst xmlns="http://schemas.openxmlformats.org/spreadsheetml/2006/main" count="94" uniqueCount="73">
  <si>
    <t>Hs / Significant Wave Height tools</t>
  </si>
  <si>
    <t>What is inside</t>
  </si>
  <si>
    <t>1) Hs_from_waves</t>
  </si>
  <si>
    <t>Significant wave height and significant period from individual waves</t>
  </si>
  <si>
    <t>2) Hs_from_spectrum</t>
  </si>
  <si>
    <t>m0 and Hs from a wave spectrum S(ω)</t>
  </si>
  <si>
    <t>3) Example_sorted_15</t>
  </si>
  <si>
    <t>Prefilled with the 15-wave slide example</t>
  </si>
  <si>
    <t>4) Example_spectrum</t>
  </si>
  <si>
    <t>Prefilled with the semi-submersible spectral example</t>
  </si>
  <si>
    <t>Exam memory</t>
  </si>
  <si>
    <t>Hmean</t>
  </si>
  <si>
    <t>(1/N) Σ H_i</t>
  </si>
  <si>
    <t>H1/3</t>
  </si>
  <si>
    <t>Average of the largest one-third wave heights</t>
  </si>
  <si>
    <t>Hs from individual wave heights and corresponding periods</t>
  </si>
  <si>
    <t>Input / result</t>
  </si>
  <si>
    <t>Value</t>
  </si>
  <si>
    <t>Number of waves, N</t>
  </si>
  <si>
    <t>Largest one-third count, n_top</t>
  </si>
  <si>
    <t>Maximum wave height, Hmax [m]</t>
  </si>
  <si>
    <t>Mean wave height, Hmean [m]</t>
  </si>
  <si>
    <t>Significant wave height, H1/3 [m]</t>
  </si>
  <si>
    <t>Significant period, T1/3 [s]</t>
  </si>
  <si>
    <t>User inputs</t>
  </si>
  <si>
    <t>Automatically sorted by height</t>
  </si>
  <si>
    <t>Wave no.</t>
  </si>
  <si>
    <t>Wave height H [m]</t>
  </si>
  <si>
    <t>Corresponding period T [s]</t>
  </si>
  <si>
    <t>Sorted rank</t>
  </si>
  <si>
    <t>Sorted H [m]</t>
  </si>
  <si>
    <t>Corresponding T [s]</t>
  </si>
  <si>
    <t>How to use</t>
  </si>
  <si>
    <t>1</t>
  </si>
  <si>
    <t>Enter wave heights H and periods T in columns B:C.</t>
  </si>
  <si>
    <t>2</t>
  </si>
  <si>
    <t>The sheet counts N automatically and takes the largest one-third.</t>
  </si>
  <si>
    <t>3</t>
  </si>
  <si>
    <t>H1/3 = average of the largest one-third wave heights.</t>
  </si>
  <si>
    <t>4</t>
  </si>
  <si>
    <t>T1/3 = average of the corresponding periods of those same waves.</t>
  </si>
  <si>
    <t>Hs from wave spectrum S(ω)</t>
  </si>
  <si>
    <t>m0 = area under S(ω) [m^2]</t>
  </si>
  <si>
    <t>Hs = 4*sqrt(m0) [m]</t>
  </si>
  <si>
    <t>Note</t>
  </si>
  <si>
    <t>Enter ω in ascending order</t>
  </si>
  <si>
    <t>Spectrum inputs</t>
  </si>
  <si>
    <t>ω [rad/s]</t>
  </si>
  <si>
    <t>Sζ(ω) [m^2 s]</t>
  </si>
  <si>
    <t>Trapezoid contribution</t>
  </si>
  <si>
    <t>How it works</t>
  </si>
  <si>
    <t>m0</t>
  </si>
  <si>
    <t>≈ ∫S(ω)dω</t>
  </si>
  <si>
    <t>Hs</t>
  </si>
  <si>
    <t>4*sqrt(m0)</t>
  </si>
  <si>
    <t>Integration</t>
  </si>
  <si>
    <t>Trapezoidal rule</t>
  </si>
  <si>
    <t>Example: Characterisation by sea state (15 sorted waves)</t>
  </si>
  <si>
    <t>Result</t>
  </si>
  <si>
    <t>Rank</t>
  </si>
  <si>
    <t>H [m]</t>
  </si>
  <si>
    <t>Expected values from the slide</t>
  </si>
  <si>
    <t>Hmax</t>
  </si>
  <si>
    <t>5.50 m</t>
  </si>
  <si>
    <t>≈ 2.90 m</t>
  </si>
  <si>
    <t>≈ 4.44 m</t>
  </si>
  <si>
    <t>T1/3</t>
  </si>
  <si>
    <t>≈ 12.78 s</t>
  </si>
  <si>
    <t>Example: Spectrum to H1/3 (semi-submersible slide)</t>
  </si>
  <si>
    <t>m0 [m^2]</t>
  </si>
  <si>
    <t>H1/3 = 4*sqrt(m0) [m]</t>
  </si>
  <si>
    <t>Contribution = 0.1*Sζ</t>
  </si>
  <si>
    <t>≈ 1.23 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</si>
</sst>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4" borderId="0" xfId="0" applyFont="1" applyFill="1" applyAlignment="1">
      <alignment horizontal="center" wrapText="1"/>
    </xf>
    <xf numFmtId="0" fontId="3" fillId="5" borderId="0" xfId="0" applyFont="1" applyFill="1" applyAlignment="1">
      <alignment horizontal="left" wrapText="1"/>
    </xf>
    <xf numFmtId="0" fontId="0" fillId="6" borderId="0" xfId="0" applyFill="1" applyAlignment="1">
      <alignment wrapText="1"/>
    </xf>
    <xf numFmtId="2" fontId="0" fillId="6" borderId="0" xfId="0" applyNumberFormat="1" applyFill="1" applyAlignment="1">
      <alignment wrapText="1"/>
    </xf>
    <xf numFmtId="165" fontId="0" fillId="6" borderId="0" xfId="0" applyNumberFormat="1" applyFill="1" applyAlignment="1">
      <alignment wrapText="1"/>
    </xf>
    <xf numFmtId="2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zoomScale="103" workbookViewId="0">
      <selection activeCell="B5" sqref="B5:H5"/>
    </sheetView>
  </sheetViews>
  <sheetFormatPr baseColWidth="10" defaultColWidth="8.83203125" defaultRowHeight="15"/>
  <cols>
    <col min="1" max="1" width="20" style="13" customWidth="1"/>
    <col min="2" max="3" width="18" style="13" customWidth="1"/>
    <col min="4" max="4" width="14" style="13" customWidth="1"/>
    <col min="5" max="6" width="12" style="13" customWidth="1"/>
    <col min="7" max="16384" width="8.83203125" style="13"/>
  </cols>
  <sheetData>
    <row r="1" spans="1:10" ht="21">
      <c r="A1" s="10" t="s">
        <v>0</v>
      </c>
      <c r="B1" s="10"/>
      <c r="C1" s="10"/>
      <c r="D1" s="10"/>
      <c r="E1" s="10"/>
      <c r="F1" s="10"/>
      <c r="G1" s="10"/>
      <c r="H1" s="10"/>
      <c r="I1" s="12"/>
      <c r="J1" s="12"/>
    </row>
    <row r="2" spans="1:10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0" ht="16" customHeight="1">
      <c r="A3" s="11" t="s">
        <v>1</v>
      </c>
      <c r="B3" s="11"/>
      <c r="C3" s="11"/>
      <c r="D3" s="11"/>
      <c r="E3" s="11"/>
      <c r="F3" s="11"/>
      <c r="G3" s="11"/>
      <c r="H3" s="11"/>
      <c r="I3" s="12"/>
      <c r="J3" s="12"/>
    </row>
    <row r="4" spans="1:10" ht="80" customHeight="1">
      <c r="A4" s="12" t="s">
        <v>2</v>
      </c>
      <c r="B4" s="14" t="s">
        <v>3</v>
      </c>
      <c r="C4" s="14"/>
      <c r="D4" s="14"/>
      <c r="E4" s="14"/>
      <c r="F4" s="14"/>
      <c r="G4" s="14"/>
      <c r="H4" s="14"/>
      <c r="I4" s="12"/>
      <c r="J4" s="12"/>
    </row>
    <row r="5" spans="1:10" ht="48" customHeight="1">
      <c r="A5" s="12" t="s">
        <v>4</v>
      </c>
      <c r="B5" s="14" t="s">
        <v>5</v>
      </c>
      <c r="C5" s="14"/>
      <c r="D5" s="14"/>
      <c r="E5" s="14"/>
      <c r="F5" s="14"/>
      <c r="G5" s="14"/>
      <c r="H5" s="14"/>
      <c r="I5" s="12"/>
      <c r="J5" s="12"/>
    </row>
    <row r="6" spans="1:10" ht="32" customHeight="1">
      <c r="A6" s="12" t="s">
        <v>6</v>
      </c>
      <c r="B6" s="14" t="s">
        <v>7</v>
      </c>
      <c r="C6" s="14"/>
      <c r="D6" s="14"/>
      <c r="E6" s="14"/>
      <c r="F6" s="14"/>
      <c r="G6" s="14"/>
      <c r="H6" s="14"/>
      <c r="I6" s="12"/>
      <c r="J6" s="12"/>
    </row>
    <row r="7" spans="1:10" ht="48" customHeight="1">
      <c r="A7" s="12" t="s">
        <v>8</v>
      </c>
      <c r="B7" s="14" t="s">
        <v>9</v>
      </c>
      <c r="C7" s="14"/>
      <c r="D7" s="14"/>
      <c r="E7" s="14"/>
      <c r="F7" s="14"/>
      <c r="G7" s="14"/>
      <c r="H7" s="14"/>
      <c r="I7" s="12"/>
      <c r="J7" s="12"/>
    </row>
    <row r="8" spans="1:10" ht="16" customHeight="1">
      <c r="A8" s="11" t="s">
        <v>10</v>
      </c>
      <c r="B8" s="11"/>
      <c r="C8" s="11"/>
      <c r="D8" s="11"/>
      <c r="E8" s="11"/>
      <c r="F8" s="11"/>
      <c r="G8" s="11"/>
      <c r="H8" s="11"/>
      <c r="I8" s="12"/>
      <c r="J8" s="12"/>
    </row>
    <row r="9" spans="1:10" ht="16">
      <c r="A9" s="12" t="s">
        <v>11</v>
      </c>
      <c r="B9" s="14" t="s">
        <v>12</v>
      </c>
      <c r="C9" s="14"/>
      <c r="D9" s="14"/>
      <c r="E9" s="14"/>
      <c r="F9" s="14"/>
      <c r="G9" s="14"/>
      <c r="H9" s="14"/>
      <c r="I9" s="12"/>
      <c r="J9" s="12"/>
    </row>
    <row r="10" spans="1:10" ht="48" customHeight="1">
      <c r="A10" s="12" t="s">
        <v>13</v>
      </c>
      <c r="B10" s="14" t="s">
        <v>14</v>
      </c>
      <c r="C10" s="14"/>
      <c r="D10" s="14"/>
      <c r="E10" s="14"/>
      <c r="F10" s="14"/>
      <c r="G10" s="14"/>
      <c r="H10" s="14"/>
      <c r="I10" s="12"/>
      <c r="J10" s="12"/>
    </row>
    <row r="11" spans="1:10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spans="1:10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0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0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 spans="1:10">
      <c r="A60" s="12"/>
      <c r="B60" s="12"/>
      <c r="C60" s="12"/>
      <c r="D60" s="12"/>
      <c r="E60" s="12"/>
      <c r="F60" s="12"/>
      <c r="G60" s="12"/>
      <c r="H60" s="12"/>
      <c r="I60" s="12"/>
      <c r="J60" s="12"/>
    </row>
  </sheetData>
  <mergeCells count="9">
    <mergeCell ref="B6:H6"/>
    <mergeCell ref="B7:H7"/>
    <mergeCell ref="B9:H9"/>
    <mergeCell ref="B10:H10"/>
    <mergeCell ref="A8:H8"/>
    <mergeCell ref="A1:H1"/>
    <mergeCell ref="A3:H3"/>
    <mergeCell ref="B4:H4"/>
    <mergeCell ref="B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7"/>
  <sheetViews>
    <sheetView topLeftCell="A4" workbookViewId="0">
      <selection activeCell="E3" sqref="E3"/>
    </sheetView>
  </sheetViews>
  <sheetFormatPr baseColWidth="10" defaultColWidth="8.83203125" defaultRowHeight="15"/>
  <cols>
    <col min="1" max="1" width="30.83203125" style="13" bestFit="1" customWidth="1"/>
    <col min="2" max="2" width="24.1640625" style="13" customWidth="1"/>
    <col min="3" max="3" width="27.5" style="13" customWidth="1"/>
    <col min="4" max="4" width="8" style="13" customWidth="1"/>
    <col min="5" max="5" width="13.33203125" style="13" bestFit="1" customWidth="1"/>
    <col min="6" max="6" width="12.33203125" style="13" bestFit="1" customWidth="1"/>
    <col min="7" max="7" width="16.33203125" style="13" bestFit="1" customWidth="1"/>
    <col min="8" max="8" width="9.1640625" style="13" bestFit="1" customWidth="1"/>
    <col min="9" max="9" width="12" style="13" customWidth="1"/>
    <col min="10" max="10" width="8.83203125" style="13"/>
    <col min="11" max="11" width="7.5" style="13" bestFit="1" customWidth="1"/>
    <col min="12" max="15" width="8.83203125" style="13"/>
    <col min="16" max="16" width="24.83203125" style="13" customWidth="1"/>
    <col min="17" max="16384" width="8.83203125" style="13"/>
  </cols>
  <sheetData>
    <row r="1" spans="1:16" ht="21">
      <c r="A1" s="15" t="s">
        <v>15</v>
      </c>
      <c r="B1" s="15"/>
      <c r="C1" s="15"/>
      <c r="D1" s="15"/>
      <c r="E1" s="15"/>
      <c r="F1" s="15"/>
      <c r="G1" s="15"/>
      <c r="H1" s="15"/>
      <c r="I1" s="15"/>
      <c r="K1" s="22" t="s">
        <v>32</v>
      </c>
      <c r="L1" s="22"/>
      <c r="M1" s="22"/>
      <c r="N1" s="22"/>
      <c r="O1" s="22"/>
      <c r="P1" s="22"/>
    </row>
    <row r="2" spans="1:16">
      <c r="K2" s="13" t="s">
        <v>33</v>
      </c>
      <c r="L2" s="23" t="s">
        <v>34</v>
      </c>
      <c r="M2" s="23"/>
      <c r="N2" s="23"/>
      <c r="O2" s="23"/>
      <c r="P2" s="23"/>
    </row>
    <row r="3" spans="1:16">
      <c r="A3" s="17" t="s">
        <v>16</v>
      </c>
      <c r="B3" s="17" t="s">
        <v>17</v>
      </c>
      <c r="K3" s="13" t="s">
        <v>35</v>
      </c>
      <c r="L3" s="23" t="s">
        <v>36</v>
      </c>
      <c r="M3" s="23"/>
      <c r="N3" s="23"/>
      <c r="O3" s="23"/>
      <c r="P3" s="23"/>
    </row>
    <row r="4" spans="1:16">
      <c r="A4" s="18" t="s">
        <v>18</v>
      </c>
      <c r="B4" s="19">
        <f>COUNT(B13:B42)</f>
        <v>0</v>
      </c>
      <c r="K4" s="13" t="s">
        <v>37</v>
      </c>
      <c r="L4" s="23" t="s">
        <v>38</v>
      </c>
      <c r="M4" s="23"/>
      <c r="N4" s="23"/>
      <c r="O4" s="23"/>
      <c r="P4" s="23"/>
    </row>
    <row r="5" spans="1:16">
      <c r="A5" s="18" t="s">
        <v>19</v>
      </c>
      <c r="B5" s="19" t="str">
        <f>IF(B4=0,"",ROUNDUP(B4/3,0))</f>
        <v/>
      </c>
      <c r="K5" s="13" t="s">
        <v>39</v>
      </c>
      <c r="L5" s="23" t="s">
        <v>40</v>
      </c>
      <c r="M5" s="23"/>
      <c r="N5" s="23"/>
      <c r="O5" s="23"/>
      <c r="P5" s="23"/>
    </row>
    <row r="6" spans="1:16">
      <c r="A6" s="18" t="s">
        <v>20</v>
      </c>
      <c r="B6" s="20" t="str">
        <f>IF(B4=0,"",MAX(B13:B42))</f>
        <v/>
      </c>
    </row>
    <row r="7" spans="1:16">
      <c r="A7" s="18" t="s">
        <v>21</v>
      </c>
      <c r="B7" s="20" t="str">
        <f>IF(B4=0,"",AVERAGE(B13:B42))</f>
        <v/>
      </c>
    </row>
    <row r="8" spans="1:16">
      <c r="A8" s="18" t="s">
        <v>22</v>
      </c>
      <c r="B8" s="20" t="e">
        <f>IF(B5=0,"",AVERAGE(F13:INDEX(F:F,12+B5)))</f>
        <v>#VALUE!</v>
      </c>
    </row>
    <row r="9" spans="1:16">
      <c r="A9" s="18" t="s">
        <v>23</v>
      </c>
      <c r="B9" s="20" t="e">
        <f>IF(B5=0,"",AVERAGE(G13:INDEX(G:G,12+B5)))</f>
        <v>#VALUE!</v>
      </c>
    </row>
    <row r="10" spans="1:16">
      <c r="E10" s="24" t="s">
        <v>25</v>
      </c>
      <c r="F10" s="24"/>
      <c r="G10" s="24"/>
      <c r="H10" s="24"/>
    </row>
    <row r="11" spans="1:16">
      <c r="A11" s="22" t="s">
        <v>24</v>
      </c>
      <c r="B11" s="22"/>
      <c r="C11" s="22"/>
      <c r="E11" s="24"/>
      <c r="F11" s="24"/>
      <c r="G11" s="24"/>
      <c r="H11" s="24"/>
    </row>
    <row r="12" spans="1:16">
      <c r="A12" s="17" t="s">
        <v>26</v>
      </c>
      <c r="B12" s="17" t="s">
        <v>27</v>
      </c>
      <c r="C12" s="17" t="s">
        <v>28</v>
      </c>
      <c r="E12" s="17" t="s">
        <v>29</v>
      </c>
      <c r="F12" s="17" t="s">
        <v>30</v>
      </c>
      <c r="G12" s="17" t="s">
        <v>31</v>
      </c>
      <c r="H12" s="17" t="s">
        <v>26</v>
      </c>
    </row>
    <row r="13" spans="1:16">
      <c r="A13" s="13">
        <v>1</v>
      </c>
      <c r="B13" s="21"/>
      <c r="C13" s="21"/>
      <c r="E13" s="13">
        <v>1</v>
      </c>
      <c r="F13" s="20" t="str">
        <f>IF(E13&lt;=$B$4,INDEX($B$13:$B$42,MATCH(LARGE(#REF!,E13),#REF!,0)),"")</f>
        <v/>
      </c>
      <c r="G13" s="20" t="str">
        <f>IF(E13&lt;=$B$4,INDEX($C$13:$C$42,MATCH(LARGE(#REF!,E13),#REF!,0)),"")</f>
        <v/>
      </c>
      <c r="H13" s="19" t="str">
        <f>IF(E13&lt;=$B$4,INDEX($A$13:$A$42,MATCH(LARGE(#REF!,E13),#REF!,0)),"")</f>
        <v/>
      </c>
    </row>
    <row r="14" spans="1:16">
      <c r="A14" s="13">
        <v>2</v>
      </c>
      <c r="B14" s="21"/>
      <c r="C14" s="21"/>
      <c r="E14" s="13">
        <v>2</v>
      </c>
      <c r="F14" s="20" t="str">
        <f>IF(E14&lt;=$B$4,INDEX($B$13:$B$42,MATCH(LARGE(#REF!,E14),#REF!,0)),"")</f>
        <v/>
      </c>
      <c r="G14" s="20" t="str">
        <f>IF(E14&lt;=$B$4,INDEX($C$13:$C$42,MATCH(LARGE(#REF!,E14),#REF!,0)),"")</f>
        <v/>
      </c>
      <c r="H14" s="19" t="str">
        <f>IF(E14&lt;=$B$4,INDEX($A$13:$A$42,MATCH(LARGE(#REF!,E14),#REF!,0)),"")</f>
        <v/>
      </c>
    </row>
    <row r="15" spans="1:16">
      <c r="A15" s="13">
        <v>3</v>
      </c>
      <c r="B15" s="21"/>
      <c r="C15" s="21"/>
      <c r="E15" s="13">
        <v>3</v>
      </c>
      <c r="F15" s="20" t="str">
        <f>IF(E15&lt;=$B$4,INDEX($B$13:$B$42,MATCH(LARGE(#REF!,E15),#REF!,0)),"")</f>
        <v/>
      </c>
      <c r="G15" s="20" t="str">
        <f>IF(E15&lt;=$B$4,INDEX($C$13:$C$42,MATCH(LARGE(#REF!,E15),#REF!,0)),"")</f>
        <v/>
      </c>
      <c r="H15" s="19" t="str">
        <f>IF(E15&lt;=$B$4,INDEX($A$13:$A$42,MATCH(LARGE(#REF!,E15),#REF!,0)),"")</f>
        <v/>
      </c>
    </row>
    <row r="16" spans="1:16">
      <c r="A16" s="13">
        <v>4</v>
      </c>
      <c r="B16" s="21"/>
      <c r="C16" s="21"/>
      <c r="E16" s="13">
        <v>4</v>
      </c>
      <c r="F16" s="20" t="str">
        <f>IF(E16&lt;=$B$4,INDEX($B$13:$B$42,MATCH(LARGE(#REF!,E16),#REF!,0)),"")</f>
        <v/>
      </c>
      <c r="G16" s="20" t="str">
        <f>IF(E16&lt;=$B$4,INDEX($C$13:$C$42,MATCH(LARGE(#REF!,E16),#REF!,0)),"")</f>
        <v/>
      </c>
      <c r="H16" s="19" t="str">
        <f>IF(E16&lt;=$B$4,INDEX($A$13:$A$42,MATCH(LARGE(#REF!,E16),#REF!,0)),"")</f>
        <v/>
      </c>
    </row>
    <row r="17" spans="1:8">
      <c r="A17" s="13">
        <v>5</v>
      </c>
      <c r="B17" s="21"/>
      <c r="C17" s="21"/>
      <c r="E17" s="13">
        <v>5</v>
      </c>
      <c r="F17" s="20" t="str">
        <f>IF(E17&lt;=$B$4,INDEX($B$13:$B$42,MATCH(LARGE(#REF!,E17),#REF!,0)),"")</f>
        <v/>
      </c>
      <c r="G17" s="20" t="str">
        <f>IF(E17&lt;=$B$4,INDEX($C$13:$C$42,MATCH(LARGE(#REF!,E17),#REF!,0)),"")</f>
        <v/>
      </c>
      <c r="H17" s="19" t="str">
        <f>IF(E17&lt;=$B$4,INDEX($A$13:$A$42,MATCH(LARGE(#REF!,E17),#REF!,0)),"")</f>
        <v/>
      </c>
    </row>
    <row r="18" spans="1:8">
      <c r="A18" s="13">
        <v>6</v>
      </c>
      <c r="B18" s="21"/>
      <c r="C18" s="21"/>
      <c r="E18" s="13">
        <v>6</v>
      </c>
      <c r="F18" s="20" t="str">
        <f>IF(E18&lt;=$B$4,INDEX($B$13:$B$42,MATCH(LARGE(#REF!,E18),#REF!,0)),"")</f>
        <v/>
      </c>
      <c r="G18" s="20" t="str">
        <f>IF(E18&lt;=$B$4,INDEX($C$13:$C$42,MATCH(LARGE(#REF!,E18),#REF!,0)),"")</f>
        <v/>
      </c>
      <c r="H18" s="19" t="str">
        <f>IF(E18&lt;=$B$4,INDEX($A$13:$A$42,MATCH(LARGE(#REF!,E18),#REF!,0)),"")</f>
        <v/>
      </c>
    </row>
    <row r="19" spans="1:8">
      <c r="A19" s="13">
        <v>7</v>
      </c>
      <c r="B19" s="21"/>
      <c r="C19" s="21"/>
      <c r="E19" s="13">
        <v>7</v>
      </c>
      <c r="F19" s="20" t="str">
        <f>IF(E19&lt;=$B$4,INDEX($B$13:$B$42,MATCH(LARGE(#REF!,E19),#REF!,0)),"")</f>
        <v/>
      </c>
      <c r="G19" s="20" t="str">
        <f>IF(E19&lt;=$B$4,INDEX($C$13:$C$42,MATCH(LARGE(#REF!,E19),#REF!,0)),"")</f>
        <v/>
      </c>
      <c r="H19" s="19" t="str">
        <f>IF(E19&lt;=$B$4,INDEX($A$13:$A$42,MATCH(LARGE(#REF!,E19),#REF!,0)),"")</f>
        <v/>
      </c>
    </row>
    <row r="20" spans="1:8">
      <c r="A20" s="13">
        <v>8</v>
      </c>
      <c r="B20" s="21"/>
      <c r="C20" s="21"/>
      <c r="E20" s="13">
        <v>8</v>
      </c>
      <c r="F20" s="20" t="str">
        <f>IF(E20&lt;=$B$4,INDEX($B$13:$B$42,MATCH(LARGE(#REF!,E20),#REF!,0)),"")</f>
        <v/>
      </c>
      <c r="G20" s="20" t="str">
        <f>IF(E20&lt;=$B$4,INDEX($C$13:$C$42,MATCH(LARGE(#REF!,E20),#REF!,0)),"")</f>
        <v/>
      </c>
      <c r="H20" s="19" t="str">
        <f>IF(E20&lt;=$B$4,INDEX($A$13:$A$42,MATCH(LARGE(#REF!,E20),#REF!,0)),"")</f>
        <v/>
      </c>
    </row>
    <row r="21" spans="1:8">
      <c r="A21" s="13">
        <v>9</v>
      </c>
      <c r="B21" s="21"/>
      <c r="C21" s="21"/>
      <c r="E21" s="13">
        <v>9</v>
      </c>
      <c r="F21" s="20" t="str">
        <f>IF(E21&lt;=$B$4,INDEX($B$13:$B$42,MATCH(LARGE(#REF!,E21),#REF!,0)),"")</f>
        <v/>
      </c>
      <c r="G21" s="20" t="str">
        <f>IF(E21&lt;=$B$4,INDEX($C$13:$C$42,MATCH(LARGE(#REF!,E21),#REF!,0)),"")</f>
        <v/>
      </c>
      <c r="H21" s="19" t="str">
        <f>IF(E21&lt;=$B$4,INDEX($A$13:$A$42,MATCH(LARGE(#REF!,E21),#REF!,0)),"")</f>
        <v/>
      </c>
    </row>
    <row r="22" spans="1:8">
      <c r="A22" s="13">
        <v>10</v>
      </c>
      <c r="B22" s="21"/>
      <c r="C22" s="21"/>
      <c r="E22" s="13">
        <v>10</v>
      </c>
      <c r="F22" s="20" t="str">
        <f>IF(E22&lt;=$B$4,INDEX($B$13:$B$42,MATCH(LARGE(#REF!,E22),#REF!,0)),"")</f>
        <v/>
      </c>
      <c r="G22" s="20" t="str">
        <f>IF(E22&lt;=$B$4,INDEX($C$13:$C$42,MATCH(LARGE(#REF!,E22),#REF!,0)),"")</f>
        <v/>
      </c>
      <c r="H22" s="19" t="str">
        <f>IF(E22&lt;=$B$4,INDEX($A$13:$A$42,MATCH(LARGE(#REF!,E22),#REF!,0)),"")</f>
        <v/>
      </c>
    </row>
    <row r="23" spans="1:8">
      <c r="A23" s="13">
        <v>11</v>
      </c>
      <c r="B23" s="21"/>
      <c r="C23" s="21"/>
      <c r="E23" s="13">
        <v>11</v>
      </c>
      <c r="F23" s="20" t="str">
        <f>IF(E23&lt;=$B$4,INDEX($B$13:$B$42,MATCH(LARGE(#REF!,E23),#REF!,0)),"")</f>
        <v/>
      </c>
      <c r="G23" s="20" t="str">
        <f>IF(E23&lt;=$B$4,INDEX($C$13:$C$42,MATCH(LARGE(#REF!,E23),#REF!,0)),"")</f>
        <v/>
      </c>
      <c r="H23" s="19" t="str">
        <f>IF(E23&lt;=$B$4,INDEX($A$13:$A$42,MATCH(LARGE(#REF!,E23),#REF!,0)),"")</f>
        <v/>
      </c>
    </row>
    <row r="24" spans="1:8">
      <c r="A24" s="13">
        <v>12</v>
      </c>
      <c r="B24" s="21"/>
      <c r="C24" s="21"/>
      <c r="E24" s="13">
        <v>12</v>
      </c>
      <c r="F24" s="20" t="str">
        <f>IF(E24&lt;=$B$4,INDEX($B$13:$B$42,MATCH(LARGE(#REF!,E24),#REF!,0)),"")</f>
        <v/>
      </c>
      <c r="G24" s="20" t="str">
        <f>IF(E24&lt;=$B$4,INDEX($C$13:$C$42,MATCH(LARGE(#REF!,E24),#REF!,0)),"")</f>
        <v/>
      </c>
      <c r="H24" s="19" t="str">
        <f>IF(E24&lt;=$B$4,INDEX($A$13:$A$42,MATCH(LARGE(#REF!,E24),#REF!,0)),"")</f>
        <v/>
      </c>
    </row>
    <row r="25" spans="1:8">
      <c r="A25" s="13">
        <v>13</v>
      </c>
      <c r="B25" s="21"/>
      <c r="C25" s="21"/>
      <c r="E25" s="13">
        <v>13</v>
      </c>
      <c r="F25" s="20" t="str">
        <f>IF(E25&lt;=$B$4,INDEX($B$13:$B$42,MATCH(LARGE(#REF!,E25),#REF!,0)),"")</f>
        <v/>
      </c>
      <c r="G25" s="20" t="str">
        <f>IF(E25&lt;=$B$4,INDEX($C$13:$C$42,MATCH(LARGE(#REF!,E25),#REF!,0)),"")</f>
        <v/>
      </c>
      <c r="H25" s="19" t="str">
        <f>IF(E25&lt;=$B$4,INDEX($A$13:$A$42,MATCH(LARGE(#REF!,E25),#REF!,0)),"")</f>
        <v/>
      </c>
    </row>
    <row r="26" spans="1:8">
      <c r="A26" s="13">
        <v>14</v>
      </c>
      <c r="B26" s="21"/>
      <c r="C26" s="21"/>
      <c r="E26" s="13">
        <v>14</v>
      </c>
      <c r="F26" s="20" t="str">
        <f>IF(E26&lt;=$B$4,INDEX($B$13:$B$42,MATCH(LARGE(#REF!,E26),#REF!,0)),"")</f>
        <v/>
      </c>
      <c r="G26" s="20" t="str">
        <f>IF(E26&lt;=$B$4,INDEX($C$13:$C$42,MATCH(LARGE(#REF!,E26),#REF!,0)),"")</f>
        <v/>
      </c>
      <c r="H26" s="19" t="str">
        <f>IF(E26&lt;=$B$4,INDEX($A$13:$A$42,MATCH(LARGE(#REF!,E26),#REF!,0)),"")</f>
        <v/>
      </c>
    </row>
    <row r="27" spans="1:8">
      <c r="A27" s="13">
        <v>15</v>
      </c>
      <c r="B27" s="21"/>
      <c r="C27" s="21"/>
      <c r="E27" s="13">
        <v>15</v>
      </c>
      <c r="F27" s="20" t="str">
        <f>IF(E27&lt;=$B$4,INDEX($B$13:$B$42,MATCH(LARGE(#REF!,E27),#REF!,0)),"")</f>
        <v/>
      </c>
      <c r="G27" s="20" t="str">
        <f>IF(E27&lt;=$B$4,INDEX($C$13:$C$42,MATCH(LARGE(#REF!,E27),#REF!,0)),"")</f>
        <v/>
      </c>
      <c r="H27" s="19" t="str">
        <f>IF(E27&lt;=$B$4,INDEX($A$13:$A$42,MATCH(LARGE(#REF!,E27),#REF!,0)),"")</f>
        <v/>
      </c>
    </row>
    <row r="28" spans="1:8">
      <c r="A28" s="13">
        <v>16</v>
      </c>
      <c r="B28" s="21"/>
      <c r="C28" s="21"/>
      <c r="E28" s="13">
        <v>16</v>
      </c>
      <c r="F28" s="20" t="str">
        <f>IF(E28&lt;=$B$4,INDEX($B$13:$B$42,MATCH(LARGE(#REF!,E28),#REF!,0)),"")</f>
        <v/>
      </c>
      <c r="G28" s="20" t="str">
        <f>IF(E28&lt;=$B$4,INDEX($C$13:$C$42,MATCH(LARGE(#REF!,E28),#REF!,0)),"")</f>
        <v/>
      </c>
      <c r="H28" s="19" t="str">
        <f>IF(E28&lt;=$B$4,INDEX($A$13:$A$42,MATCH(LARGE(#REF!,E28),#REF!,0)),"")</f>
        <v/>
      </c>
    </row>
    <row r="29" spans="1:8">
      <c r="A29" s="13">
        <v>17</v>
      </c>
      <c r="B29" s="21"/>
      <c r="C29" s="21"/>
      <c r="E29" s="13">
        <v>17</v>
      </c>
      <c r="F29" s="20" t="str">
        <f>IF(E29&lt;=$B$4,INDEX($B$13:$B$42,MATCH(LARGE(#REF!,E29),#REF!,0)),"")</f>
        <v/>
      </c>
      <c r="G29" s="20" t="str">
        <f>IF(E29&lt;=$B$4,INDEX($C$13:$C$42,MATCH(LARGE(#REF!,E29),#REF!,0)),"")</f>
        <v/>
      </c>
      <c r="H29" s="19" t="str">
        <f>IF(E29&lt;=$B$4,INDEX($A$13:$A$42,MATCH(LARGE(#REF!,E29),#REF!,0)),"")</f>
        <v/>
      </c>
    </row>
    <row r="30" spans="1:8">
      <c r="A30" s="13">
        <v>18</v>
      </c>
      <c r="B30" s="21"/>
      <c r="C30" s="21"/>
      <c r="E30" s="13">
        <v>18</v>
      </c>
      <c r="F30" s="20" t="str">
        <f>IF(E30&lt;=$B$4,INDEX($B$13:$B$42,MATCH(LARGE(#REF!,E30),#REF!,0)),"")</f>
        <v/>
      </c>
      <c r="G30" s="20" t="str">
        <f>IF(E30&lt;=$B$4,INDEX($C$13:$C$42,MATCH(LARGE(#REF!,E30),#REF!,0)),"")</f>
        <v/>
      </c>
      <c r="H30" s="19" t="str">
        <f>IF(E30&lt;=$B$4,INDEX($A$13:$A$42,MATCH(LARGE(#REF!,E30),#REF!,0)),"")</f>
        <v/>
      </c>
    </row>
    <row r="31" spans="1:8">
      <c r="A31" s="13">
        <v>19</v>
      </c>
      <c r="B31" s="21"/>
      <c r="C31" s="21"/>
      <c r="E31" s="13">
        <v>19</v>
      </c>
      <c r="F31" s="20" t="str">
        <f>IF(E31&lt;=$B$4,INDEX($B$13:$B$42,MATCH(LARGE(#REF!,E31),#REF!,0)),"")</f>
        <v/>
      </c>
      <c r="G31" s="20" t="str">
        <f>IF(E31&lt;=$B$4,INDEX($C$13:$C$42,MATCH(LARGE(#REF!,E31),#REF!,0)),"")</f>
        <v/>
      </c>
      <c r="H31" s="19" t="str">
        <f>IF(E31&lt;=$B$4,INDEX($A$13:$A$42,MATCH(LARGE(#REF!,E31),#REF!,0)),"")</f>
        <v/>
      </c>
    </row>
    <row r="32" spans="1:8">
      <c r="A32" s="13">
        <v>20</v>
      </c>
      <c r="B32" s="21"/>
      <c r="C32" s="21"/>
      <c r="E32" s="13">
        <v>20</v>
      </c>
      <c r="F32" s="20" t="str">
        <f>IF(E32&lt;=$B$4,INDEX($B$13:$B$42,MATCH(LARGE(#REF!,E32),#REF!,0)),"")</f>
        <v/>
      </c>
      <c r="G32" s="20" t="str">
        <f>IF(E32&lt;=$B$4,INDEX($C$13:$C$42,MATCH(LARGE(#REF!,E32),#REF!,0)),"")</f>
        <v/>
      </c>
      <c r="H32" s="19" t="str">
        <f>IF(E32&lt;=$B$4,INDEX($A$13:$A$42,MATCH(LARGE(#REF!,E32),#REF!,0)),"")</f>
        <v/>
      </c>
    </row>
    <row r="33" spans="1:10">
      <c r="A33" s="13">
        <v>21</v>
      </c>
      <c r="B33" s="21"/>
      <c r="C33" s="21"/>
      <c r="E33" s="13">
        <v>21</v>
      </c>
      <c r="F33" s="20" t="str">
        <f>IF(E33&lt;=$B$4,INDEX($B$13:$B$42,MATCH(LARGE(#REF!,E33),#REF!,0)),"")</f>
        <v/>
      </c>
      <c r="G33" s="20" t="str">
        <f>IF(E33&lt;=$B$4,INDEX($C$13:$C$42,MATCH(LARGE(#REF!,E33),#REF!,0)),"")</f>
        <v/>
      </c>
      <c r="H33" s="19" t="str">
        <f>IF(E33&lt;=$B$4,INDEX($A$13:$A$42,MATCH(LARGE(#REF!,E33),#REF!,0)),"")</f>
        <v/>
      </c>
    </row>
    <row r="34" spans="1:10">
      <c r="A34" s="13">
        <v>22</v>
      </c>
      <c r="B34" s="21"/>
      <c r="C34" s="21"/>
      <c r="E34" s="13">
        <v>22</v>
      </c>
      <c r="F34" s="20" t="str">
        <f>IF(E34&lt;=$B$4,INDEX($B$13:$B$42,MATCH(LARGE(#REF!,E34),#REF!,0)),"")</f>
        <v/>
      </c>
      <c r="G34" s="20" t="str">
        <f>IF(E34&lt;=$B$4,INDEX($C$13:$C$42,MATCH(LARGE(#REF!,E34),#REF!,0)),"")</f>
        <v/>
      </c>
      <c r="H34" s="19" t="str">
        <f>IF(E34&lt;=$B$4,INDEX($A$13:$A$42,MATCH(LARGE(#REF!,E34),#REF!,0)),"")</f>
        <v/>
      </c>
    </row>
    <row r="35" spans="1:10">
      <c r="A35" s="13">
        <v>23</v>
      </c>
      <c r="B35" s="21"/>
      <c r="C35" s="21"/>
      <c r="E35" s="13">
        <v>23</v>
      </c>
      <c r="F35" s="20" t="str">
        <f>IF(E35&lt;=$B$4,INDEX($B$13:$B$42,MATCH(LARGE(#REF!,E35),#REF!,0)),"")</f>
        <v/>
      </c>
      <c r="G35" s="20" t="str">
        <f>IF(E35&lt;=$B$4,INDEX($C$13:$C$42,MATCH(LARGE(#REF!,E35),#REF!,0)),"")</f>
        <v/>
      </c>
      <c r="H35" s="19" t="str">
        <f>IF(E35&lt;=$B$4,INDEX($A$13:$A$42,MATCH(LARGE(#REF!,E35),#REF!,0)),"")</f>
        <v/>
      </c>
    </row>
    <row r="36" spans="1:10">
      <c r="A36" s="13">
        <v>24</v>
      </c>
      <c r="B36" s="21"/>
      <c r="C36" s="21"/>
      <c r="E36" s="13">
        <v>24</v>
      </c>
      <c r="F36" s="20" t="str">
        <f>IF(E36&lt;=$B$4,INDEX($B$13:$B$42,MATCH(LARGE(#REF!,E36),#REF!,0)),"")</f>
        <v/>
      </c>
      <c r="G36" s="20" t="str">
        <f>IF(E36&lt;=$B$4,INDEX($C$13:$C$42,MATCH(LARGE(#REF!,E36),#REF!,0)),"")</f>
        <v/>
      </c>
      <c r="H36" s="19" t="str">
        <f>IF(E36&lt;=$B$4,INDEX($A$13:$A$42,MATCH(LARGE(#REF!,E36),#REF!,0)),"")</f>
        <v/>
      </c>
    </row>
    <row r="37" spans="1:10">
      <c r="A37" s="13">
        <v>25</v>
      </c>
      <c r="B37" s="21"/>
      <c r="C37" s="21"/>
      <c r="E37" s="13">
        <v>25</v>
      </c>
      <c r="F37" s="20" t="str">
        <f>IF(E37&lt;=$B$4,INDEX($B$13:$B$42,MATCH(LARGE(#REF!,E37),#REF!,0)),"")</f>
        <v/>
      </c>
      <c r="G37" s="20" t="str">
        <f>IF(E37&lt;=$B$4,INDEX($C$13:$C$42,MATCH(LARGE(#REF!,E37),#REF!,0)),"")</f>
        <v/>
      </c>
      <c r="H37" s="19" t="str">
        <f>IF(E37&lt;=$B$4,INDEX($A$13:$A$42,MATCH(LARGE(#REF!,E37),#REF!,0)),"")</f>
        <v/>
      </c>
    </row>
    <row r="38" spans="1:10">
      <c r="A38" s="13">
        <v>26</v>
      </c>
      <c r="B38" s="21"/>
      <c r="C38" s="21"/>
      <c r="E38" s="13">
        <v>26</v>
      </c>
      <c r="F38" s="20" t="str">
        <f>IF(E38&lt;=$B$4,INDEX($B$13:$B$42,MATCH(LARGE(#REF!,E38),#REF!,0)),"")</f>
        <v/>
      </c>
      <c r="G38" s="20" t="str">
        <f>IF(E38&lt;=$B$4,INDEX($C$13:$C$42,MATCH(LARGE(#REF!,E38),#REF!,0)),"")</f>
        <v/>
      </c>
      <c r="H38" s="19" t="str">
        <f>IF(E38&lt;=$B$4,INDEX($A$13:$A$42,MATCH(LARGE(#REF!,E38),#REF!,0)),"")</f>
        <v/>
      </c>
    </row>
    <row r="39" spans="1:10">
      <c r="A39" s="13">
        <v>27</v>
      </c>
      <c r="B39" s="21"/>
      <c r="C39" s="21"/>
      <c r="E39" s="13">
        <v>27</v>
      </c>
      <c r="F39" s="20" t="str">
        <f>IF(E39&lt;=$B$4,INDEX($B$13:$B$42,MATCH(LARGE(#REF!,E39),#REF!,0)),"")</f>
        <v/>
      </c>
      <c r="G39" s="20" t="str">
        <f>IF(E39&lt;=$B$4,INDEX($C$13:$C$42,MATCH(LARGE(#REF!,E39),#REF!,0)),"")</f>
        <v/>
      </c>
      <c r="H39" s="19" t="str">
        <f>IF(E39&lt;=$B$4,INDEX($A$13:$A$42,MATCH(LARGE(#REF!,E39),#REF!,0)),"")</f>
        <v/>
      </c>
    </row>
    <row r="40" spans="1:10">
      <c r="A40" s="13">
        <v>28</v>
      </c>
      <c r="B40" s="21"/>
      <c r="C40" s="21"/>
      <c r="E40" s="13">
        <v>28</v>
      </c>
      <c r="F40" s="20" t="str">
        <f>IF(E40&lt;=$B$4,INDEX($B$13:$B$42,MATCH(LARGE(#REF!,E40),#REF!,0)),"")</f>
        <v/>
      </c>
      <c r="G40" s="20" t="str">
        <f>IF(E40&lt;=$B$4,INDEX($C$13:$C$42,MATCH(LARGE(#REF!,E40),#REF!,0)),"")</f>
        <v/>
      </c>
      <c r="H40" s="19" t="str">
        <f>IF(E40&lt;=$B$4,INDEX($A$13:$A$42,MATCH(LARGE(#REF!,E40),#REF!,0)),"")</f>
        <v/>
      </c>
    </row>
    <row r="41" spans="1:10">
      <c r="A41" s="13">
        <v>29</v>
      </c>
      <c r="B41" s="21"/>
      <c r="C41" s="21"/>
      <c r="E41" s="13">
        <v>29</v>
      </c>
      <c r="F41" s="20" t="str">
        <f>IF(E41&lt;=$B$4,INDEX($B$13:$B$42,MATCH(LARGE(#REF!,E41),#REF!,0)),"")</f>
        <v/>
      </c>
      <c r="G41" s="20" t="str">
        <f>IF(E41&lt;=$B$4,INDEX($C$13:$C$42,MATCH(LARGE(#REF!,E41),#REF!,0)),"")</f>
        <v/>
      </c>
      <c r="H41" s="19" t="str">
        <f>IF(E41&lt;=$B$4,INDEX($A$13:$A$42,MATCH(LARGE(#REF!,E41),#REF!,0)),"")</f>
        <v/>
      </c>
    </row>
    <row r="42" spans="1:10">
      <c r="A42" s="13">
        <v>30</v>
      </c>
      <c r="B42" s="21"/>
      <c r="C42" s="21"/>
      <c r="E42" s="13">
        <v>30</v>
      </c>
      <c r="F42" s="20" t="str">
        <f>IF(E42&lt;=$B$4,INDEX($B$13:$B$42,MATCH(LARGE(#REF!,E42),#REF!,0)),"")</f>
        <v/>
      </c>
      <c r="G42" s="20" t="str">
        <f>IF(E42&lt;=$B$4,INDEX($C$13:$C$42,MATCH(LARGE(#REF!,E42),#REF!,0)),"")</f>
        <v/>
      </c>
      <c r="H42" s="19" t="str">
        <f>IF(E42&lt;=$B$4,INDEX($A$13:$A$42,MATCH(LARGE(#REF!,E42),#REF!,0)),"")</f>
        <v/>
      </c>
    </row>
    <row r="44" spans="1:10">
      <c r="B44" s="25"/>
      <c r="C44" s="25"/>
      <c r="D44" s="25"/>
      <c r="E44" s="25"/>
      <c r="F44" s="25"/>
      <c r="G44" s="25"/>
      <c r="H44" s="25"/>
      <c r="I44" s="25"/>
      <c r="J44" s="25"/>
    </row>
    <row r="45" spans="1:10">
      <c r="B45" s="25"/>
      <c r="C45" s="26"/>
      <c r="D45" s="26"/>
      <c r="E45" s="26"/>
      <c r="F45" s="26"/>
      <c r="G45" s="26"/>
      <c r="H45" s="26"/>
      <c r="I45" s="26"/>
      <c r="J45" s="25"/>
    </row>
    <row r="46" spans="1:10">
      <c r="B46" s="25"/>
      <c r="C46" s="25"/>
      <c r="D46" s="25"/>
      <c r="E46" s="25"/>
      <c r="F46" s="25"/>
      <c r="G46" s="25"/>
      <c r="H46" s="25"/>
      <c r="I46" s="25"/>
      <c r="J46" s="25"/>
    </row>
    <row r="47" spans="1:10">
      <c r="B47" s="25"/>
      <c r="C47" s="25"/>
      <c r="D47" s="25"/>
      <c r="E47" s="25"/>
      <c r="F47" s="25"/>
      <c r="G47" s="25"/>
      <c r="H47" s="25"/>
      <c r="I47" s="25"/>
      <c r="J47" s="25"/>
    </row>
  </sheetData>
  <mergeCells count="8">
    <mergeCell ref="L5:P5"/>
    <mergeCell ref="E10:H11"/>
    <mergeCell ref="A11:C11"/>
    <mergeCell ref="A1:I1"/>
    <mergeCell ref="K1:P1"/>
    <mergeCell ref="L2:P2"/>
    <mergeCell ref="L3:P3"/>
    <mergeCell ref="L4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2"/>
  <sheetViews>
    <sheetView tabSelected="1" workbookViewId="0">
      <selection activeCell="C11" sqref="C11"/>
    </sheetView>
  </sheetViews>
  <sheetFormatPr baseColWidth="10" defaultColWidth="8.83203125" defaultRowHeight="15"/>
  <cols>
    <col min="1" max="1" width="25.5" style="13" customWidth="1"/>
    <col min="2" max="2" width="26.83203125" style="13" customWidth="1"/>
    <col min="3" max="3" width="31.33203125" style="13" customWidth="1"/>
    <col min="4" max="4" width="14" style="13" customWidth="1"/>
    <col min="5" max="6" width="8" style="13" customWidth="1"/>
    <col min="7" max="9" width="8.83203125" style="13"/>
    <col min="10" max="10" width="12.6640625" style="13" bestFit="1" customWidth="1"/>
    <col min="11" max="11" width="8.33203125" style="13" bestFit="1" customWidth="1"/>
    <col min="12" max="12" width="17.83203125" style="13" customWidth="1"/>
    <col min="13" max="16384" width="8.83203125" style="13"/>
  </cols>
  <sheetData>
    <row r="1" spans="1:12" ht="21">
      <c r="A1" s="15" t="s">
        <v>41</v>
      </c>
      <c r="B1" s="15"/>
      <c r="C1" s="15"/>
      <c r="D1" s="15"/>
      <c r="E1" s="15"/>
      <c r="F1" s="15"/>
      <c r="G1" s="15"/>
      <c r="H1" s="15"/>
      <c r="J1" s="22" t="s">
        <v>50</v>
      </c>
      <c r="K1" s="22"/>
      <c r="L1" s="22"/>
    </row>
    <row r="2" spans="1:12">
      <c r="J2" s="13" t="s">
        <v>51</v>
      </c>
      <c r="K2" s="23" t="s">
        <v>52</v>
      </c>
      <c r="L2" s="23"/>
    </row>
    <row r="3" spans="1:12">
      <c r="A3" s="17" t="s">
        <v>16</v>
      </c>
      <c r="B3" s="17" t="s">
        <v>17</v>
      </c>
      <c r="J3" s="13" t="s">
        <v>53</v>
      </c>
      <c r="K3" s="23" t="s">
        <v>54</v>
      </c>
      <c r="L3" s="23"/>
    </row>
    <row r="4" spans="1:12">
      <c r="A4" s="18" t="s">
        <v>42</v>
      </c>
      <c r="B4" s="27">
        <f>SUM(C13:C41)</f>
        <v>0</v>
      </c>
      <c r="J4" s="13" t="s">
        <v>55</v>
      </c>
      <c r="K4" s="23" t="s">
        <v>56</v>
      </c>
      <c r="L4" s="23"/>
    </row>
    <row r="5" spans="1:12">
      <c r="A5" s="18" t="s">
        <v>43</v>
      </c>
      <c r="B5" s="27">
        <f>IF(B4="","",4*SQRT(B4))</f>
        <v>0</v>
      </c>
    </row>
    <row r="6" spans="1:12">
      <c r="A6" s="18" t="s">
        <v>44</v>
      </c>
      <c r="B6" s="13" t="s">
        <v>45</v>
      </c>
    </row>
    <row r="11" spans="1:12">
      <c r="A11" s="16" t="s">
        <v>46</v>
      </c>
      <c r="B11" s="16"/>
      <c r="C11" s="16"/>
    </row>
    <row r="12" spans="1:12">
      <c r="A12" s="17" t="s">
        <v>47</v>
      </c>
      <c r="B12" s="17" t="s">
        <v>48</v>
      </c>
      <c r="C12" s="17" t="s">
        <v>49</v>
      </c>
    </row>
    <row r="13" spans="1:12">
      <c r="A13" s="28"/>
      <c r="B13" s="28"/>
      <c r="C13" s="27" t="str">
        <f t="shared" ref="C13:C41" si="0">IF(OR(A13="",A14="",B13="",B14=""),"",0.5*(B13+B14)*(A14-A13))</f>
        <v/>
      </c>
    </row>
    <row r="14" spans="1:12">
      <c r="A14" s="28"/>
      <c r="B14" s="28"/>
      <c r="C14" s="27" t="str">
        <f t="shared" si="0"/>
        <v/>
      </c>
    </row>
    <row r="15" spans="1:12">
      <c r="A15" s="28"/>
      <c r="B15" s="28"/>
      <c r="C15" s="27" t="str">
        <f t="shared" si="0"/>
        <v/>
      </c>
    </row>
    <row r="16" spans="1:12">
      <c r="A16" s="28"/>
      <c r="B16" s="28"/>
      <c r="C16" s="27" t="str">
        <f t="shared" si="0"/>
        <v/>
      </c>
    </row>
    <row r="17" spans="1:3">
      <c r="A17" s="28"/>
      <c r="B17" s="28"/>
      <c r="C17" s="27" t="str">
        <f t="shared" si="0"/>
        <v/>
      </c>
    </row>
    <row r="18" spans="1:3">
      <c r="A18" s="28"/>
      <c r="B18" s="28"/>
      <c r="C18" s="27" t="str">
        <f t="shared" si="0"/>
        <v/>
      </c>
    </row>
    <row r="19" spans="1:3">
      <c r="A19" s="28"/>
      <c r="B19" s="28"/>
      <c r="C19" s="27" t="str">
        <f t="shared" si="0"/>
        <v/>
      </c>
    </row>
    <row r="20" spans="1:3">
      <c r="A20" s="28"/>
      <c r="B20" s="28"/>
      <c r="C20" s="27" t="str">
        <f t="shared" si="0"/>
        <v/>
      </c>
    </row>
    <row r="21" spans="1:3">
      <c r="A21" s="28"/>
      <c r="B21" s="28"/>
      <c r="C21" s="27" t="str">
        <f t="shared" si="0"/>
        <v/>
      </c>
    </row>
    <row r="22" spans="1:3">
      <c r="A22" s="28"/>
      <c r="B22" s="28"/>
      <c r="C22" s="27" t="str">
        <f t="shared" si="0"/>
        <v/>
      </c>
    </row>
    <row r="23" spans="1:3">
      <c r="A23" s="28"/>
      <c r="B23" s="28"/>
      <c r="C23" s="27" t="str">
        <f t="shared" si="0"/>
        <v/>
      </c>
    </row>
    <row r="24" spans="1:3">
      <c r="A24" s="28"/>
      <c r="B24" s="28"/>
      <c r="C24" s="27" t="str">
        <f t="shared" si="0"/>
        <v/>
      </c>
    </row>
    <row r="25" spans="1:3">
      <c r="A25" s="28"/>
      <c r="B25" s="28"/>
      <c r="C25" s="27" t="str">
        <f t="shared" si="0"/>
        <v/>
      </c>
    </row>
    <row r="26" spans="1:3">
      <c r="A26" s="28"/>
      <c r="B26" s="28"/>
      <c r="C26" s="27" t="str">
        <f t="shared" si="0"/>
        <v/>
      </c>
    </row>
    <row r="27" spans="1:3">
      <c r="A27" s="28"/>
      <c r="B27" s="28"/>
      <c r="C27" s="27" t="str">
        <f t="shared" si="0"/>
        <v/>
      </c>
    </row>
    <row r="28" spans="1:3">
      <c r="A28" s="28"/>
      <c r="B28" s="28"/>
      <c r="C28" s="27" t="str">
        <f t="shared" si="0"/>
        <v/>
      </c>
    </row>
    <row r="29" spans="1:3">
      <c r="A29" s="28"/>
      <c r="B29" s="28"/>
      <c r="C29" s="27" t="str">
        <f t="shared" si="0"/>
        <v/>
      </c>
    </row>
    <row r="30" spans="1:3">
      <c r="A30" s="28"/>
      <c r="B30" s="28"/>
      <c r="C30" s="27" t="str">
        <f t="shared" si="0"/>
        <v/>
      </c>
    </row>
    <row r="31" spans="1:3">
      <c r="A31" s="28"/>
      <c r="B31" s="28"/>
      <c r="C31" s="27" t="str">
        <f t="shared" si="0"/>
        <v/>
      </c>
    </row>
    <row r="32" spans="1:3">
      <c r="A32" s="28"/>
      <c r="B32" s="28"/>
      <c r="C32" s="27" t="str">
        <f t="shared" si="0"/>
        <v/>
      </c>
    </row>
    <row r="33" spans="1:3">
      <c r="A33" s="28"/>
      <c r="B33" s="28"/>
      <c r="C33" s="27" t="str">
        <f t="shared" si="0"/>
        <v/>
      </c>
    </row>
    <row r="34" spans="1:3">
      <c r="A34" s="28"/>
      <c r="B34" s="28"/>
      <c r="C34" s="27" t="str">
        <f t="shared" si="0"/>
        <v/>
      </c>
    </row>
    <row r="35" spans="1:3">
      <c r="A35" s="28"/>
      <c r="B35" s="28"/>
      <c r="C35" s="27" t="str">
        <f t="shared" si="0"/>
        <v/>
      </c>
    </row>
    <row r="36" spans="1:3">
      <c r="A36" s="28"/>
      <c r="B36" s="28"/>
      <c r="C36" s="27" t="str">
        <f t="shared" si="0"/>
        <v/>
      </c>
    </row>
    <row r="37" spans="1:3">
      <c r="A37" s="28"/>
      <c r="B37" s="28"/>
      <c r="C37" s="27" t="str">
        <f t="shared" si="0"/>
        <v/>
      </c>
    </row>
    <row r="38" spans="1:3">
      <c r="A38" s="28"/>
      <c r="B38" s="28"/>
      <c r="C38" s="27" t="str">
        <f t="shared" si="0"/>
        <v/>
      </c>
    </row>
    <row r="39" spans="1:3">
      <c r="A39" s="28"/>
      <c r="B39" s="28"/>
      <c r="C39" s="27" t="str">
        <f t="shared" si="0"/>
        <v/>
      </c>
    </row>
    <row r="40" spans="1:3">
      <c r="A40" s="28"/>
      <c r="B40" s="28"/>
      <c r="C40" s="27" t="str">
        <f t="shared" si="0"/>
        <v/>
      </c>
    </row>
    <row r="41" spans="1:3">
      <c r="A41" s="28"/>
      <c r="B41" s="28"/>
      <c r="C41" s="27" t="str">
        <f t="shared" si="0"/>
        <v/>
      </c>
    </row>
    <row r="42" spans="1:3">
      <c r="A42" s="28"/>
      <c r="B42" s="28"/>
      <c r="C42" s="27"/>
    </row>
  </sheetData>
  <mergeCells count="5">
    <mergeCell ref="A1:H1"/>
    <mergeCell ref="K2:L2"/>
    <mergeCell ref="K3:L3"/>
    <mergeCell ref="K4:L4"/>
    <mergeCell ref="J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0"/>
  <sheetViews>
    <sheetView workbookViewId="0">
      <selection activeCell="E26" sqref="E26"/>
    </sheetView>
  </sheetViews>
  <sheetFormatPr baseColWidth="10" defaultColWidth="8.83203125" defaultRowHeight="15"/>
  <cols>
    <col min="1" max="1" width="20" customWidth="1"/>
    <col min="2" max="3" width="18" customWidth="1"/>
    <col min="4" max="4" width="14" customWidth="1"/>
    <col min="5" max="6" width="12" customWidth="1"/>
  </cols>
  <sheetData>
    <row r="1" spans="1:10" ht="21">
      <c r="A1" s="10" t="s">
        <v>57</v>
      </c>
      <c r="B1" s="10"/>
      <c r="C1" s="10"/>
      <c r="D1" s="10"/>
      <c r="E1" s="10"/>
      <c r="F1" s="10"/>
      <c r="G1" s="2"/>
      <c r="H1" s="2"/>
      <c r="I1" s="2"/>
      <c r="J1" s="2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6">
      <c r="A3" s="3" t="s">
        <v>58</v>
      </c>
      <c r="B3" s="3" t="s">
        <v>17</v>
      </c>
      <c r="C3" s="2"/>
      <c r="D3" s="2"/>
      <c r="E3" s="2"/>
      <c r="F3" s="2"/>
      <c r="G3" s="2"/>
      <c r="H3" s="2"/>
      <c r="I3" s="2"/>
      <c r="J3" s="2"/>
    </row>
    <row r="4" spans="1:10" ht="16">
      <c r="A4" s="4" t="s">
        <v>18</v>
      </c>
      <c r="B4" s="5">
        <v>15</v>
      </c>
      <c r="C4" s="2"/>
      <c r="D4" s="2"/>
      <c r="E4" s="2"/>
      <c r="F4" s="2"/>
      <c r="G4" s="2"/>
      <c r="H4" s="2"/>
      <c r="I4" s="2"/>
      <c r="J4" s="2"/>
    </row>
    <row r="5" spans="1:10" ht="32">
      <c r="A5" s="4" t="s">
        <v>19</v>
      </c>
      <c r="B5" s="5">
        <v>5</v>
      </c>
      <c r="C5" s="2"/>
      <c r="D5" s="2"/>
      <c r="E5" s="2"/>
      <c r="F5" s="2"/>
      <c r="G5" s="2"/>
      <c r="H5" s="2"/>
      <c r="I5" s="2"/>
      <c r="J5" s="2"/>
    </row>
    <row r="6" spans="1:10" ht="32">
      <c r="A6" s="4" t="s">
        <v>20</v>
      </c>
      <c r="B6" s="6">
        <f>MAX(B13:B27)</f>
        <v>5.5</v>
      </c>
      <c r="C6" s="2"/>
      <c r="D6" s="2"/>
      <c r="E6" s="2"/>
      <c r="F6" s="2"/>
      <c r="G6" s="2"/>
      <c r="H6" s="2"/>
      <c r="I6" s="2"/>
      <c r="J6" s="2"/>
    </row>
    <row r="7" spans="1:10" ht="32">
      <c r="A7" s="4" t="s">
        <v>21</v>
      </c>
      <c r="B7" s="6">
        <f>AVERAGE(B13:B27)</f>
        <v>2.9019999999999997</v>
      </c>
      <c r="C7" s="2"/>
      <c r="D7" s="2"/>
      <c r="E7" s="2"/>
      <c r="F7" s="2"/>
      <c r="G7" s="2"/>
      <c r="H7" s="2"/>
      <c r="I7" s="2"/>
      <c r="J7" s="2"/>
    </row>
    <row r="8" spans="1:10" ht="32">
      <c r="A8" s="4" t="s">
        <v>22</v>
      </c>
      <c r="B8" s="6">
        <f>AVERAGE(B13:B17)</f>
        <v>4.4399999999999995</v>
      </c>
      <c r="C8" s="2"/>
      <c r="D8" s="2"/>
      <c r="E8" s="2"/>
      <c r="F8" s="2"/>
      <c r="G8" s="2"/>
      <c r="H8" s="2"/>
      <c r="I8" s="2"/>
      <c r="J8" s="2"/>
    </row>
    <row r="9" spans="1:10" ht="32">
      <c r="A9" s="4" t="s">
        <v>23</v>
      </c>
      <c r="B9" s="6">
        <f>AVERAGE(C13:C17)</f>
        <v>12.780000000000001</v>
      </c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32">
      <c r="A12" s="3" t="s">
        <v>59</v>
      </c>
      <c r="B12" s="3" t="s">
        <v>60</v>
      </c>
      <c r="C12" s="3" t="s">
        <v>31</v>
      </c>
      <c r="D12" s="2"/>
      <c r="E12" s="2"/>
      <c r="F12" s="2"/>
      <c r="G12" s="2"/>
      <c r="H12" s="2"/>
      <c r="I12" s="2"/>
      <c r="J12" s="2"/>
    </row>
    <row r="13" spans="1:10">
      <c r="A13" s="2">
        <v>1</v>
      </c>
      <c r="B13" s="8">
        <v>5.5</v>
      </c>
      <c r="C13" s="8">
        <v>12.5</v>
      </c>
      <c r="D13" s="2"/>
      <c r="E13" s="2"/>
      <c r="F13" s="2"/>
      <c r="G13" s="2"/>
      <c r="H13" s="2"/>
      <c r="I13" s="2"/>
      <c r="J13" s="2"/>
    </row>
    <row r="14" spans="1:10">
      <c r="A14" s="2">
        <v>2</v>
      </c>
      <c r="B14" s="8">
        <v>4.8</v>
      </c>
      <c r="C14" s="8">
        <v>13</v>
      </c>
      <c r="D14" s="2"/>
      <c r="E14" s="2"/>
      <c r="F14" s="2"/>
      <c r="G14" s="2"/>
      <c r="H14" s="2"/>
      <c r="I14" s="2"/>
      <c r="J14" s="2"/>
    </row>
    <row r="15" spans="1:10">
      <c r="A15" s="2">
        <v>3</v>
      </c>
      <c r="B15" s="8">
        <v>4.2</v>
      </c>
      <c r="C15" s="8">
        <v>12</v>
      </c>
      <c r="D15" s="2"/>
      <c r="E15" s="2"/>
      <c r="F15" s="2"/>
      <c r="G15" s="2"/>
      <c r="H15" s="2"/>
      <c r="I15" s="2"/>
      <c r="J15" s="2"/>
    </row>
    <row r="16" spans="1:10">
      <c r="A16" s="2">
        <v>4</v>
      </c>
      <c r="B16" s="8">
        <v>3.9</v>
      </c>
      <c r="C16" s="8">
        <v>11.2</v>
      </c>
      <c r="D16" s="2"/>
      <c r="E16" s="2"/>
      <c r="F16" s="2"/>
      <c r="G16" s="2"/>
      <c r="H16" s="2"/>
      <c r="I16" s="2"/>
      <c r="J16" s="2"/>
    </row>
    <row r="17" spans="1:10">
      <c r="A17" s="2">
        <v>5</v>
      </c>
      <c r="B17" s="8">
        <v>3.8</v>
      </c>
      <c r="C17" s="8">
        <v>15.2</v>
      </c>
      <c r="D17" s="2"/>
      <c r="E17" s="2"/>
      <c r="F17" s="2"/>
      <c r="G17" s="2"/>
      <c r="H17" s="2"/>
      <c r="I17" s="2"/>
      <c r="J17" s="2"/>
    </row>
    <row r="18" spans="1:10">
      <c r="A18" s="2">
        <v>6</v>
      </c>
      <c r="B18" s="8">
        <v>3.4</v>
      </c>
      <c r="C18" s="8">
        <v>8.5</v>
      </c>
      <c r="D18" s="2"/>
      <c r="E18" s="2"/>
      <c r="F18" s="2"/>
      <c r="G18" s="2"/>
      <c r="H18" s="2"/>
      <c r="I18" s="2"/>
      <c r="J18" s="2"/>
    </row>
    <row r="19" spans="1:10">
      <c r="A19" s="2">
        <v>7</v>
      </c>
      <c r="B19" s="8">
        <v>2.9</v>
      </c>
      <c r="C19" s="8">
        <v>11.9</v>
      </c>
      <c r="D19" s="2"/>
      <c r="E19" s="2"/>
      <c r="F19" s="2"/>
      <c r="G19" s="2"/>
      <c r="H19" s="2"/>
      <c r="I19" s="2"/>
      <c r="J19" s="2"/>
    </row>
    <row r="20" spans="1:10">
      <c r="A20" s="2">
        <v>8</v>
      </c>
      <c r="B20" s="8">
        <v>2.8</v>
      </c>
      <c r="C20" s="8">
        <v>11</v>
      </c>
      <c r="D20" s="2"/>
      <c r="E20" s="2"/>
      <c r="F20" s="2"/>
      <c r="G20" s="2"/>
      <c r="H20" s="2"/>
      <c r="I20" s="2"/>
      <c r="J20" s="2"/>
    </row>
    <row r="21" spans="1:10">
      <c r="A21" s="2">
        <v>9</v>
      </c>
      <c r="B21" s="8">
        <v>2.7</v>
      </c>
      <c r="C21" s="8">
        <v>9.3000000000000007</v>
      </c>
      <c r="D21" s="2"/>
      <c r="E21" s="2"/>
      <c r="F21" s="2"/>
      <c r="G21" s="2"/>
      <c r="H21" s="2"/>
      <c r="I21" s="2"/>
      <c r="J21" s="2"/>
    </row>
    <row r="22" spans="1:10">
      <c r="A22" s="2">
        <v>10</v>
      </c>
      <c r="B22" s="8">
        <v>2.2999999999999998</v>
      </c>
      <c r="C22" s="8">
        <v>10.1</v>
      </c>
      <c r="D22" s="2"/>
      <c r="E22" s="2"/>
      <c r="F22" s="2"/>
      <c r="G22" s="2"/>
      <c r="H22" s="2"/>
      <c r="I22" s="2"/>
      <c r="J22" s="2"/>
    </row>
    <row r="23" spans="1:10">
      <c r="A23" s="2">
        <v>11</v>
      </c>
      <c r="B23" s="8">
        <v>2.2000000000000002</v>
      </c>
      <c r="C23" s="8">
        <v>7.2</v>
      </c>
      <c r="D23" s="2"/>
      <c r="E23" s="2"/>
      <c r="F23" s="2"/>
      <c r="G23" s="2"/>
      <c r="H23" s="2"/>
      <c r="I23" s="2"/>
      <c r="J23" s="2"/>
    </row>
    <row r="24" spans="1:10">
      <c r="A24" s="2">
        <v>12</v>
      </c>
      <c r="B24" s="8">
        <v>1.9</v>
      </c>
      <c r="C24" s="8">
        <v>5.6</v>
      </c>
      <c r="D24" s="2"/>
      <c r="E24" s="2"/>
      <c r="F24" s="2"/>
      <c r="G24" s="2"/>
      <c r="H24" s="2"/>
      <c r="I24" s="2"/>
      <c r="J24" s="2"/>
    </row>
    <row r="25" spans="1:10">
      <c r="A25" s="2">
        <v>13</v>
      </c>
      <c r="B25" s="8">
        <v>1.8</v>
      </c>
      <c r="C25" s="8">
        <v>6.3</v>
      </c>
      <c r="D25" s="2"/>
      <c r="E25" s="2"/>
      <c r="F25" s="2"/>
      <c r="G25" s="2"/>
      <c r="H25" s="2"/>
      <c r="I25" s="2"/>
      <c r="J25" s="2"/>
    </row>
    <row r="26" spans="1:10">
      <c r="A26" s="2">
        <v>14</v>
      </c>
      <c r="B26" s="8">
        <v>1.1000000000000001</v>
      </c>
      <c r="C26" s="8">
        <v>4</v>
      </c>
      <c r="D26" s="2"/>
      <c r="E26" s="2"/>
      <c r="F26" s="2"/>
      <c r="G26" s="2"/>
      <c r="H26" s="2"/>
      <c r="I26" s="2"/>
      <c r="J26" s="2"/>
    </row>
    <row r="27" spans="1:10">
      <c r="A27" s="2">
        <v>15</v>
      </c>
      <c r="B27" s="8">
        <v>0.23</v>
      </c>
      <c r="C27" s="8">
        <v>0.9</v>
      </c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32">
      <c r="A30" s="1" t="s">
        <v>61</v>
      </c>
      <c r="B30" s="1"/>
      <c r="C30" s="2"/>
      <c r="D30" s="2"/>
      <c r="E30" s="2"/>
      <c r="F30" s="2"/>
      <c r="G30" s="2"/>
      <c r="H30" s="2"/>
      <c r="I30" s="2"/>
      <c r="J30" s="2"/>
    </row>
    <row r="31" spans="1:10" ht="16">
      <c r="A31" s="2" t="s">
        <v>62</v>
      </c>
      <c r="B31" s="2" t="s">
        <v>63</v>
      </c>
      <c r="C31" s="2"/>
      <c r="D31" s="2"/>
      <c r="E31" s="2"/>
      <c r="F31" s="2"/>
      <c r="G31" s="2"/>
      <c r="H31" s="2"/>
      <c r="I31" s="2"/>
      <c r="J31" s="2"/>
    </row>
    <row r="32" spans="1:10" ht="16">
      <c r="A32" s="2" t="s">
        <v>11</v>
      </c>
      <c r="B32" s="2" t="s">
        <v>64</v>
      </c>
      <c r="C32" s="2"/>
      <c r="D32" s="2"/>
      <c r="E32" s="2"/>
      <c r="F32" s="2"/>
      <c r="G32" s="2"/>
      <c r="H32" s="2"/>
      <c r="I32" s="2"/>
      <c r="J32" s="2"/>
    </row>
    <row r="33" spans="1:10" ht="16">
      <c r="A33" s="2" t="s">
        <v>13</v>
      </c>
      <c r="B33" s="2" t="s">
        <v>65</v>
      </c>
      <c r="C33" s="2"/>
      <c r="D33" s="2"/>
      <c r="E33" s="2"/>
      <c r="F33" s="2"/>
      <c r="G33" s="2"/>
      <c r="H33" s="2"/>
      <c r="I33" s="2"/>
      <c r="J33" s="2"/>
    </row>
    <row r="34" spans="1:10" ht="16">
      <c r="A34" s="2" t="s">
        <v>66</v>
      </c>
      <c r="B34" s="2" t="s">
        <v>67</v>
      </c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0"/>
  <sheetViews>
    <sheetView workbookViewId="0">
      <selection activeCell="D26" sqref="D26"/>
    </sheetView>
  </sheetViews>
  <sheetFormatPr baseColWidth="10" defaultColWidth="8.83203125" defaultRowHeight="15"/>
  <cols>
    <col min="1" max="1" width="20" customWidth="1"/>
    <col min="2" max="3" width="18" customWidth="1"/>
    <col min="4" max="4" width="14" customWidth="1"/>
    <col min="5" max="6" width="12" customWidth="1"/>
  </cols>
  <sheetData>
    <row r="1" spans="1:10" ht="21">
      <c r="A1" s="10" t="s">
        <v>68</v>
      </c>
      <c r="B1" s="10"/>
      <c r="C1" s="10"/>
      <c r="D1" s="10"/>
      <c r="E1" s="10"/>
      <c r="F1" s="10"/>
      <c r="G1" s="2"/>
      <c r="H1" s="2"/>
      <c r="I1" s="2"/>
      <c r="J1" s="2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6">
      <c r="A3" s="3" t="s">
        <v>58</v>
      </c>
      <c r="B3" s="3" t="s">
        <v>17</v>
      </c>
      <c r="C3" s="2"/>
      <c r="D3" s="2"/>
      <c r="E3" s="2"/>
      <c r="F3" s="2"/>
      <c r="G3" s="2"/>
      <c r="H3" s="2"/>
      <c r="I3" s="2"/>
      <c r="J3" s="2"/>
    </row>
    <row r="4" spans="1:10" ht="16">
      <c r="A4" s="4" t="s">
        <v>69</v>
      </c>
      <c r="B4" s="7">
        <f>SUM(C8:C23)</f>
        <v>1.2329999999999997</v>
      </c>
      <c r="C4" s="2"/>
      <c r="D4" s="2"/>
      <c r="E4" s="2"/>
      <c r="F4" s="2"/>
      <c r="G4" s="2"/>
      <c r="H4" s="2"/>
      <c r="I4" s="2"/>
      <c r="J4" s="2"/>
    </row>
    <row r="5" spans="1:10" ht="16">
      <c r="A5" s="4" t="s">
        <v>70</v>
      </c>
      <c r="B5" s="7">
        <f>4*SQRT(B4)</f>
        <v>4.441621325597219</v>
      </c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32">
      <c r="A7" s="3" t="s">
        <v>47</v>
      </c>
      <c r="B7" s="3" t="s">
        <v>48</v>
      </c>
      <c r="C7" s="3" t="s">
        <v>71</v>
      </c>
      <c r="D7" s="2"/>
      <c r="E7" s="2"/>
      <c r="F7" s="2"/>
      <c r="G7" s="2"/>
      <c r="H7" s="2"/>
      <c r="I7" s="2"/>
      <c r="J7" s="2"/>
    </row>
    <row r="8" spans="1:10">
      <c r="A8" s="9">
        <v>0</v>
      </c>
      <c r="B8" s="9">
        <v>0</v>
      </c>
      <c r="C8" s="9">
        <f t="shared" ref="C8:C23" si="0">0.1*B8</f>
        <v>0</v>
      </c>
      <c r="D8" s="2"/>
      <c r="E8" s="2"/>
      <c r="F8" s="2"/>
      <c r="G8" s="2"/>
      <c r="H8" s="2"/>
      <c r="I8" s="2"/>
      <c r="J8" s="2"/>
    </row>
    <row r="9" spans="1:10">
      <c r="A9" s="9">
        <v>0.1</v>
      </c>
      <c r="B9" s="9">
        <v>0</v>
      </c>
      <c r="C9" s="9">
        <f t="shared" si="0"/>
        <v>0</v>
      </c>
      <c r="D9" s="2"/>
      <c r="E9" s="2"/>
      <c r="F9" s="2"/>
      <c r="G9" s="2"/>
      <c r="H9" s="2"/>
      <c r="I9" s="2"/>
      <c r="J9" s="2"/>
    </row>
    <row r="10" spans="1:10">
      <c r="A10" s="9">
        <v>0.2</v>
      </c>
      <c r="B10" s="9">
        <v>0</v>
      </c>
      <c r="C10" s="9">
        <f t="shared" si="0"/>
        <v>0</v>
      </c>
      <c r="D10" s="2"/>
      <c r="E10" s="2"/>
      <c r="F10" s="2"/>
      <c r="G10" s="2"/>
      <c r="H10" s="2"/>
      <c r="I10" s="2"/>
      <c r="J10" s="2"/>
    </row>
    <row r="11" spans="1:10">
      <c r="A11" s="9">
        <v>0.3</v>
      </c>
      <c r="B11" s="9">
        <v>0.59</v>
      </c>
      <c r="C11" s="9">
        <f t="shared" si="0"/>
        <v>5.8999999999999997E-2</v>
      </c>
      <c r="D11" s="2"/>
      <c r="E11" s="2"/>
      <c r="F11" s="2"/>
      <c r="G11" s="2"/>
      <c r="H11" s="2"/>
      <c r="I11" s="2"/>
      <c r="J11" s="2"/>
    </row>
    <row r="12" spans="1:10">
      <c r="A12" s="9">
        <v>0.4</v>
      </c>
      <c r="B12" s="9">
        <v>4.09</v>
      </c>
      <c r="C12" s="9">
        <f t="shared" si="0"/>
        <v>0.40900000000000003</v>
      </c>
      <c r="D12" s="2"/>
      <c r="E12" s="2"/>
      <c r="F12" s="2"/>
      <c r="G12" s="2"/>
      <c r="H12" s="2"/>
      <c r="I12" s="2"/>
      <c r="J12" s="2"/>
    </row>
    <row r="13" spans="1:10">
      <c r="A13" s="9">
        <v>0.5</v>
      </c>
      <c r="B13" s="9">
        <v>3.37</v>
      </c>
      <c r="C13" s="9">
        <f t="shared" si="0"/>
        <v>0.33700000000000002</v>
      </c>
      <c r="D13" s="2"/>
      <c r="E13" s="2"/>
      <c r="F13" s="2"/>
      <c r="G13" s="2"/>
      <c r="H13" s="2"/>
      <c r="I13" s="2"/>
      <c r="J13" s="2"/>
    </row>
    <row r="14" spans="1:10">
      <c r="A14" s="9">
        <v>0.6</v>
      </c>
      <c r="B14" s="9">
        <v>1.89</v>
      </c>
      <c r="C14" s="9">
        <f t="shared" si="0"/>
        <v>0.189</v>
      </c>
      <c r="D14" s="2"/>
      <c r="E14" s="2"/>
      <c r="F14" s="2"/>
      <c r="G14" s="2"/>
      <c r="H14" s="2"/>
      <c r="I14" s="2"/>
      <c r="J14" s="2"/>
    </row>
    <row r="15" spans="1:10">
      <c r="A15" s="9">
        <v>0.7</v>
      </c>
      <c r="B15" s="9">
        <v>1.01</v>
      </c>
      <c r="C15" s="9">
        <f t="shared" si="0"/>
        <v>0.10100000000000001</v>
      </c>
      <c r="D15" s="2"/>
      <c r="E15" s="2"/>
      <c r="F15" s="2"/>
      <c r="G15" s="2"/>
      <c r="H15" s="2"/>
      <c r="I15" s="2"/>
      <c r="J15" s="2"/>
    </row>
    <row r="16" spans="1:10">
      <c r="A16" s="9">
        <v>0.8</v>
      </c>
      <c r="B16" s="9">
        <v>0.55000000000000004</v>
      </c>
      <c r="C16" s="9">
        <f t="shared" si="0"/>
        <v>5.5000000000000007E-2</v>
      </c>
      <c r="D16" s="2"/>
      <c r="E16" s="2"/>
      <c r="F16" s="2"/>
      <c r="G16" s="2"/>
      <c r="H16" s="2"/>
      <c r="I16" s="2"/>
      <c r="J16" s="2"/>
    </row>
    <row r="17" spans="1:10">
      <c r="A17" s="9">
        <v>0.9</v>
      </c>
      <c r="B17" s="9">
        <v>0.32</v>
      </c>
      <c r="C17" s="9">
        <f t="shared" si="0"/>
        <v>3.2000000000000001E-2</v>
      </c>
      <c r="D17" s="2"/>
      <c r="E17" s="2"/>
      <c r="F17" s="2"/>
      <c r="G17" s="2"/>
      <c r="H17" s="2"/>
      <c r="I17" s="2"/>
      <c r="J17" s="2"/>
    </row>
    <row r="18" spans="1:10">
      <c r="A18" s="9">
        <v>1</v>
      </c>
      <c r="B18" s="9">
        <v>0.19</v>
      </c>
      <c r="C18" s="9">
        <f t="shared" si="0"/>
        <v>1.9000000000000003E-2</v>
      </c>
      <c r="D18" s="2"/>
      <c r="E18" s="2"/>
      <c r="F18" s="2"/>
      <c r="G18" s="2"/>
      <c r="H18" s="2"/>
      <c r="I18" s="2"/>
      <c r="J18" s="2"/>
    </row>
    <row r="19" spans="1:10">
      <c r="A19" s="9">
        <v>1.1000000000000001</v>
      </c>
      <c r="B19" s="9">
        <v>0.12</v>
      </c>
      <c r="C19" s="9">
        <f t="shared" si="0"/>
        <v>1.2E-2</v>
      </c>
      <c r="D19" s="2"/>
      <c r="E19" s="2"/>
      <c r="F19" s="2"/>
      <c r="G19" s="2"/>
      <c r="H19" s="2"/>
      <c r="I19" s="2"/>
      <c r="J19" s="2"/>
    </row>
    <row r="20" spans="1:10">
      <c r="A20" s="9">
        <v>1.2</v>
      </c>
      <c r="B20" s="9">
        <v>0.08</v>
      </c>
      <c r="C20" s="9">
        <f t="shared" si="0"/>
        <v>8.0000000000000002E-3</v>
      </c>
      <c r="D20" s="2"/>
      <c r="E20" s="2"/>
      <c r="F20" s="2"/>
      <c r="G20" s="2"/>
      <c r="H20" s="2"/>
      <c r="I20" s="2"/>
      <c r="J20" s="2"/>
    </row>
    <row r="21" spans="1:10">
      <c r="A21" s="9">
        <v>1.3</v>
      </c>
      <c r="B21" s="9">
        <v>0.05</v>
      </c>
      <c r="C21" s="9">
        <f t="shared" si="0"/>
        <v>5.000000000000001E-3</v>
      </c>
      <c r="D21" s="2"/>
      <c r="E21" s="2"/>
      <c r="F21" s="2"/>
      <c r="G21" s="2"/>
      <c r="H21" s="2"/>
      <c r="I21" s="2"/>
      <c r="J21" s="2"/>
    </row>
    <row r="22" spans="1:10">
      <c r="A22" s="9">
        <v>1.4</v>
      </c>
      <c r="B22" s="9">
        <v>0.04</v>
      </c>
      <c r="C22" s="9">
        <f t="shared" si="0"/>
        <v>4.0000000000000001E-3</v>
      </c>
      <c r="D22" s="2"/>
      <c r="E22" s="2"/>
      <c r="F22" s="2"/>
      <c r="G22" s="2"/>
      <c r="H22" s="2"/>
      <c r="I22" s="2"/>
      <c r="J22" s="2"/>
    </row>
    <row r="23" spans="1:10">
      <c r="A23" s="9">
        <v>1.5</v>
      </c>
      <c r="B23" s="9">
        <v>0.03</v>
      </c>
      <c r="C23" s="9">
        <f t="shared" si="0"/>
        <v>3.0000000000000001E-3</v>
      </c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32">
      <c r="A26" s="1" t="s">
        <v>61</v>
      </c>
      <c r="B26" s="1"/>
      <c r="C26" s="2"/>
      <c r="D26" s="2"/>
      <c r="E26" s="2"/>
      <c r="F26" s="2"/>
      <c r="G26" s="2"/>
      <c r="H26" s="2"/>
      <c r="I26" s="2"/>
      <c r="J26" s="2"/>
    </row>
    <row r="27" spans="1:10" ht="16">
      <c r="A27" s="2" t="s">
        <v>51</v>
      </c>
      <c r="B27" s="2" t="s">
        <v>72</v>
      </c>
      <c r="C27" s="2"/>
      <c r="D27" s="2"/>
      <c r="E27" s="2"/>
      <c r="F27" s="2"/>
      <c r="G27" s="2"/>
      <c r="H27" s="2"/>
      <c r="I27" s="2"/>
      <c r="J27" s="2"/>
    </row>
    <row r="28" spans="1:10" ht="16">
      <c r="A28" s="2" t="s">
        <v>13</v>
      </c>
      <c r="B28" s="2" t="s">
        <v>65</v>
      </c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Hs_from_waves</vt:lpstr>
      <vt:lpstr>Hs_from_spectrum</vt:lpstr>
      <vt:lpstr>Example_sorted_15</vt:lpstr>
      <vt:lpstr>Example_spectrum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Fernandez Tello</cp:lastModifiedBy>
  <dcterms:modified xsi:type="dcterms:W3CDTF">2026-05-14T10:49:50Z</dcterms:modified>
</cp:coreProperties>
</file>