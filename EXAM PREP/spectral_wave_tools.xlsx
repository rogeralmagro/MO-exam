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mariafernandeztello/Downloads/EXAM PREP/"/>
    </mc:Choice>
  </mc:AlternateContent>
  <xr:revisionPtr revIDLastSave="0" documentId="13_ncr:1_{70EBC436-97EC-154E-8D73-3A0B1C07835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adMe" sheetId="1" r:id="rId1"/>
    <sheet name="Wave_Stats" sheetId="2" r:id="rId2"/>
    <sheet name="Encounter" sheetId="3" r:id="rId3"/>
    <sheet name="Response_Spectr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D13" i="4"/>
  <c r="F13" i="4" s="1"/>
  <c r="D12" i="4"/>
  <c r="F12" i="4" s="1"/>
  <c r="F11" i="4"/>
  <c r="D11" i="4"/>
  <c r="E11" i="4" s="1"/>
  <c r="D10" i="4"/>
  <c r="F10" i="4" s="1"/>
  <c r="D9" i="4"/>
  <c r="F9" i="4" s="1"/>
  <c r="I7" i="4" s="1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C13" i="3"/>
  <c r="G12" i="3"/>
  <c r="C12" i="3"/>
  <c r="G11" i="3"/>
  <c r="C11" i="3"/>
  <c r="G10" i="3"/>
  <c r="C10" i="3"/>
  <c r="J7" i="3"/>
  <c r="J5" i="3"/>
  <c r="B5" i="3"/>
  <c r="E12" i="3" s="1"/>
  <c r="F12" i="3" s="1"/>
  <c r="B11" i="2"/>
  <c r="E9" i="2"/>
  <c r="E10" i="2" s="1"/>
  <c r="E8" i="2"/>
  <c r="E7" i="2"/>
  <c r="E6" i="2"/>
  <c r="E5" i="2"/>
  <c r="E4" i="2"/>
  <c r="E11" i="2" s="1"/>
  <c r="D11" i="3" l="1"/>
  <c r="E9" i="4"/>
  <c r="E11" i="3"/>
  <c r="F11" i="3" s="1"/>
  <c r="D13" i="3"/>
  <c r="E13" i="3"/>
  <c r="F13" i="3" s="1"/>
  <c r="E12" i="4"/>
  <c r="E10" i="4"/>
  <c r="E13" i="4"/>
  <c r="D10" i="3"/>
  <c r="D12" i="3"/>
  <c r="E10" i="3"/>
  <c r="F10" i="3" s="1"/>
  <c r="J4" i="3" l="1"/>
  <c r="I6" i="4"/>
  <c r="I4" i="4"/>
  <c r="I5" i="4" s="1"/>
  <c r="J6" i="3"/>
  <c r="I9" i="4" l="1"/>
  <c r="I8" i="4"/>
  <c r="I10" i="4" s="1"/>
</calcChain>
</file>

<file path=xl/sharedStrings.xml><?xml version="1.0" encoding="utf-8"?>
<sst xmlns="http://schemas.openxmlformats.org/spreadsheetml/2006/main" count="76" uniqueCount="66">
  <si>
    <t>41107 Solver — Spectral / Encounter / Wave Statistics</t>
  </si>
  <si>
    <t>This workbook combines topics 3, 4 and 5:
• Response spectrum / spectral analysis / RAO
• Encounter spectrum transformation
• Wave statistics with spectra
Yellow cells are inputs. White cells are automatic outputs.</t>
  </si>
  <si>
    <t>Sheet</t>
  </si>
  <si>
    <t>Purpose</t>
  </si>
  <si>
    <t>Wave_Stats</t>
  </si>
  <si>
    <t>m0, Hs, crest/wave exceedance, expected exceedances</t>
  </si>
  <si>
    <t>Encounter</t>
  </si>
  <si>
    <t>Transform ω to ωe and compute S*(ωe)</t>
  </si>
  <si>
    <t>Response_Spectrum</t>
  </si>
  <si>
    <t>Compute SR(ω)=|RAO|^2Sζ(ω), moments and sig. response</t>
  </si>
  <si>
    <t>Note</t>
  </si>
  <si>
    <t>You can overwrite example values with your own practice data</t>
  </si>
  <si>
    <t>For crude estimates, put rough spectrum values row by row</t>
  </si>
  <si>
    <t>Wave Statistics / Rayleigh Solver</t>
  </si>
  <si>
    <t>Input</t>
  </si>
  <si>
    <t>Value</t>
  </si>
  <si>
    <t>Output</t>
  </si>
  <si>
    <t>Result</t>
  </si>
  <si>
    <t>m0 (m^2)</t>
  </si>
  <si>
    <t>Hs from m0 (m)</t>
  </si>
  <si>
    <t>Hs known? (m, optional)</t>
  </si>
  <si>
    <t>m0 from Hs (m^2)</t>
  </si>
  <si>
    <t>Threshold h1 for crest exceedance (m)</t>
  </si>
  <si>
    <t>P(crest &gt; h1)</t>
  </si>
  <si>
    <t>Threshold H* for wave-height exceedance (m)</t>
  </si>
  <si>
    <t>P(H &gt; Hs)</t>
  </si>
  <si>
    <t>Total record time Ttot (s)</t>
  </si>
  <si>
    <t>P(H &gt; H*)</t>
  </si>
  <si>
    <t>Average zero-crossing period Tz (s)</t>
  </si>
  <si>
    <t>N waves ≈ Ttot/Tz</t>
  </si>
  <si>
    <t>Peak period Tp (s, optional)</t>
  </si>
  <si>
    <t>Expected exceedances of h1</t>
  </si>
  <si>
    <t>Tz approx = Tp/1.4</t>
  </si>
  <si>
    <t>Check</t>
  </si>
  <si>
    <t>Encounter Spectrum Solver</t>
  </si>
  <si>
    <t>Quick outputs</t>
  </si>
  <si>
    <t>Ship speed U (knots)</t>
  </si>
  <si>
    <t>Max ωe</t>
  </si>
  <si>
    <t>Ship speed U (m/s)</t>
  </si>
  <si>
    <t>ΣSζ (raw)</t>
  </si>
  <si>
    <t>Encounter angle μ (deg)</t>
  </si>
  <si>
    <t>ΣS*(transf.)</t>
  </si>
  <si>
    <t>g (m/s^2)</t>
  </si>
  <si>
    <t>ω (rad/s)</t>
  </si>
  <si>
    <t>Sζ(ω)</t>
  </si>
  <si>
    <t>k=ω^2/g</t>
  </si>
  <si>
    <t>ωe (rad/s)</t>
  </si>
  <si>
    <t>dωe/dω</t>
  </si>
  <si>
    <t>S*(ωe)</t>
  </si>
  <si>
    <t>Comment</t>
  </si>
  <si>
    <t>Response Spectrum / RAO Solver</t>
  </si>
  <si>
    <t>Δω (rad/s)</t>
  </si>
  <si>
    <t>m0 wave</t>
  </si>
  <si>
    <t>Threshold x for exceedance (response amplitude units)</t>
  </si>
  <si>
    <t>Hs ≈ 4√m0</t>
  </si>
  <si>
    <t>Use same units for x as response amplitude</t>
  </si>
  <si>
    <t>m0 response</t>
  </si>
  <si>
    <t>m1 response</t>
  </si>
  <si>
    <t>Wave spectrum Sζ(ω)</t>
  </si>
  <si>
    <t>RAO amplitude |Φ|</t>
  </si>
  <si>
    <t>Response spectrum SR(ω)</t>
  </si>
  <si>
    <t>ω^0 SR(ω)Δω</t>
  </si>
  <si>
    <t>ω^1 SR(ω)Δω</t>
  </si>
  <si>
    <t>sig. response amplitude</t>
  </si>
  <si>
    <t>P(X &gt; x)</t>
  </si>
  <si>
    <t>Expected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</si>
</sst>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4"/>
      <color rgb="FF1F1F1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3" borderId="0" xfId="0" applyNumberFormat="1" applyFill="1" applyAlignment="1">
      <alignment wrapText="1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50" workbookViewId="0">
      <selection activeCell="A16" sqref="A16"/>
    </sheetView>
  </sheetViews>
  <sheetFormatPr baseColWidth="10" defaultColWidth="8.83203125" defaultRowHeight="15"/>
  <cols>
    <col min="1" max="1" width="50.83203125" bestFit="1" customWidth="1"/>
    <col min="2" max="2" width="48.83203125" bestFit="1" customWidth="1"/>
  </cols>
  <sheetData>
    <row r="1" spans="1:2" ht="18">
      <c r="A1" s="7" t="s">
        <v>0</v>
      </c>
    </row>
    <row r="3" spans="1:2">
      <c r="A3" t="s">
        <v>1</v>
      </c>
    </row>
    <row r="6" spans="1:2">
      <c r="A6" s="8" t="s">
        <v>2</v>
      </c>
      <c r="B6" s="8" t="s">
        <v>3</v>
      </c>
    </row>
    <row r="7" spans="1:2">
      <c r="A7" t="s">
        <v>4</v>
      </c>
      <c r="B7" t="s">
        <v>5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10</v>
      </c>
      <c r="B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163" workbookViewId="0">
      <selection activeCell="B6" sqref="B6"/>
    </sheetView>
  </sheetViews>
  <sheetFormatPr baseColWidth="10" defaultColWidth="8.83203125" defaultRowHeight="15"/>
  <cols>
    <col min="1" max="1" width="39.5" style="2" bestFit="1" customWidth="1"/>
    <col min="2" max="2" width="8.6640625" style="2" bestFit="1" customWidth="1"/>
    <col min="3" max="3" width="8.83203125" style="2"/>
    <col min="4" max="4" width="25.1640625" style="2" bestFit="1" customWidth="1"/>
    <col min="5" max="5" width="25" style="2" bestFit="1" customWidth="1"/>
    <col min="6" max="16384" width="8.83203125" style="2"/>
  </cols>
  <sheetData>
    <row r="1" spans="1:5" ht="19">
      <c r="A1" s="6" t="s">
        <v>13</v>
      </c>
    </row>
    <row r="3" spans="1:5" ht="16">
      <c r="A3" s="1" t="s">
        <v>14</v>
      </c>
      <c r="B3" s="1" t="s">
        <v>15</v>
      </c>
      <c r="D3" s="1" t="s">
        <v>16</v>
      </c>
      <c r="E3" s="1" t="s">
        <v>17</v>
      </c>
    </row>
    <row r="4" spans="1:5" ht="16">
      <c r="A4" s="2" t="s">
        <v>18</v>
      </c>
      <c r="B4" s="3">
        <v>1.56</v>
      </c>
      <c r="D4" s="2" t="s">
        <v>19</v>
      </c>
      <c r="E4" s="4">
        <f>4*SQRT(B4)</f>
        <v>4.9959983987187186</v>
      </c>
    </row>
    <row r="5" spans="1:5" ht="16">
      <c r="A5" s="2" t="s">
        <v>20</v>
      </c>
      <c r="B5" s="3">
        <v>5</v>
      </c>
      <c r="D5" s="2" t="s">
        <v>21</v>
      </c>
      <c r="E5" s="4">
        <f>IF(B5&lt;&gt;"",(B5/4)^2,"")</f>
        <v>1.5625</v>
      </c>
    </row>
    <row r="6" spans="1:5" ht="16">
      <c r="A6" s="2" t="s">
        <v>22</v>
      </c>
      <c r="B6" s="3">
        <v>1.5</v>
      </c>
      <c r="D6" s="2" t="s">
        <v>23</v>
      </c>
      <c r="E6" s="4">
        <f>EXP(-(B6^2)/(2*B4))</f>
        <v>0.48619094263844076</v>
      </c>
    </row>
    <row r="7" spans="1:5" ht="16">
      <c r="A7" s="2" t="s">
        <v>24</v>
      </c>
      <c r="B7" s="3">
        <v>8</v>
      </c>
      <c r="D7" s="2" t="s">
        <v>25</v>
      </c>
      <c r="E7" s="4">
        <f>EXP(-((IF(B5&lt;&gt;"",B5,E4))^2)/(8*B4))</f>
        <v>0.13490221070040292</v>
      </c>
    </row>
    <row r="8" spans="1:5" ht="16">
      <c r="A8" s="2" t="s">
        <v>26</v>
      </c>
      <c r="B8" s="3">
        <v>3600</v>
      </c>
      <c r="D8" s="2" t="s">
        <v>27</v>
      </c>
      <c r="E8" s="4">
        <f>EXP(-(B7^2)/(8*B4))</f>
        <v>5.9271894771945281E-3</v>
      </c>
    </row>
    <row r="9" spans="1:5" ht="16">
      <c r="A9" s="2" t="s">
        <v>28</v>
      </c>
      <c r="B9" s="3">
        <v>7</v>
      </c>
      <c r="D9" s="2" t="s">
        <v>29</v>
      </c>
      <c r="E9" s="4">
        <f>B8/B9</f>
        <v>514.28571428571433</v>
      </c>
    </row>
    <row r="10" spans="1:5" ht="16">
      <c r="A10" s="2" t="s">
        <v>30</v>
      </c>
      <c r="B10" s="3">
        <v>10</v>
      </c>
      <c r="D10" s="2" t="s">
        <v>31</v>
      </c>
      <c r="E10" s="4">
        <f>E9*E6</f>
        <v>250.04105621405526</v>
      </c>
    </row>
    <row r="11" spans="1:5" ht="16">
      <c r="A11" s="2" t="s">
        <v>32</v>
      </c>
      <c r="B11" s="4">
        <f>IF(B10&lt;&gt;"",B10/1.4,"")</f>
        <v>7.1428571428571432</v>
      </c>
      <c r="D11" s="2" t="s">
        <v>33</v>
      </c>
      <c r="E11" s="5" t="str">
        <f>IF(B5="","Using Hs from m0",IF(ABS(B5-E4)&lt;0.25,"Hs input close to Hs from m0","Hs input differs from Hs from m0"))</f>
        <v>Hs input close to Hs from m0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zoomScale="212" workbookViewId="0">
      <selection activeCell="A15" sqref="A15"/>
    </sheetView>
  </sheetViews>
  <sheetFormatPr baseColWidth="10" defaultColWidth="8.83203125" defaultRowHeight="15"/>
  <cols>
    <col min="1" max="1" width="33" style="10" bestFit="1" customWidth="1"/>
    <col min="2" max="2" width="8.6640625" style="10" bestFit="1" customWidth="1"/>
    <col min="3" max="6" width="9.5" style="10" customWidth="1"/>
    <col min="7" max="7" width="24.1640625" style="10" customWidth="1"/>
    <col min="8" max="8" width="8.83203125" style="10"/>
    <col min="9" max="9" width="19.6640625" style="10" customWidth="1"/>
    <col min="10" max="10" width="18.6640625" style="10" bestFit="1" customWidth="1"/>
    <col min="11" max="16384" width="8.83203125" style="10"/>
  </cols>
  <sheetData>
    <row r="1" spans="1:10" ht="18">
      <c r="A1" s="9" t="s">
        <v>34</v>
      </c>
    </row>
    <row r="3" spans="1:10">
      <c r="A3" s="8" t="s">
        <v>14</v>
      </c>
      <c r="B3" s="8" t="s">
        <v>15</v>
      </c>
      <c r="I3" s="8" t="s">
        <v>35</v>
      </c>
      <c r="J3" s="8" t="s">
        <v>15</v>
      </c>
    </row>
    <row r="4" spans="1:10">
      <c r="A4" s="10" t="s">
        <v>36</v>
      </c>
      <c r="B4" s="11">
        <v>20</v>
      </c>
      <c r="I4" s="10" t="s">
        <v>37</v>
      </c>
      <c r="J4" s="10">
        <f>MAX(D10:D21)</f>
        <v>0.78878678899082555</v>
      </c>
    </row>
    <row r="5" spans="1:10">
      <c r="A5" s="10" t="s">
        <v>38</v>
      </c>
      <c r="B5" s="11">
        <f>B4*0.514444</f>
        <v>10.288880000000001</v>
      </c>
      <c r="I5" s="10" t="s">
        <v>39</v>
      </c>
      <c r="J5" s="10">
        <f>SUM(B10:B21)</f>
        <v>3.5</v>
      </c>
    </row>
    <row r="6" spans="1:10">
      <c r="A6" s="10" t="s">
        <v>40</v>
      </c>
      <c r="B6" s="11">
        <v>120</v>
      </c>
      <c r="I6" s="10" t="s">
        <v>41</v>
      </c>
      <c r="J6" s="10">
        <f>SUM(F10:F21)</f>
        <v>2.4346872097337249</v>
      </c>
    </row>
    <row r="7" spans="1:10">
      <c r="A7" s="10" t="s">
        <v>42</v>
      </c>
      <c r="B7" s="10">
        <v>9.81</v>
      </c>
      <c r="I7" s="10" t="s">
        <v>33</v>
      </c>
      <c r="J7" s="10" t="str">
        <f>IF(COUNT(A10:A21)=0,"No data","Rows with blanks are ignored")</f>
        <v>Rows with blanks are ignored</v>
      </c>
    </row>
    <row r="9" spans="1:10">
      <c r="A9" s="8" t="s">
        <v>43</v>
      </c>
      <c r="B9" s="8" t="s">
        <v>44</v>
      </c>
      <c r="C9" s="8" t="s">
        <v>45</v>
      </c>
      <c r="D9" s="8" t="s">
        <v>46</v>
      </c>
      <c r="E9" s="8" t="s">
        <v>47</v>
      </c>
      <c r="F9" s="8" t="s">
        <v>48</v>
      </c>
      <c r="G9" s="8" t="s">
        <v>49</v>
      </c>
    </row>
    <row r="10" spans="1:10">
      <c r="A10" s="12">
        <v>0.3</v>
      </c>
      <c r="B10" s="12">
        <v>0.5</v>
      </c>
      <c r="C10" s="13">
        <f t="shared" ref="C10:C21" si="0">IF(A10="","",A10^2/$B$7)</f>
        <v>9.1743119266055034E-3</v>
      </c>
      <c r="D10" s="13">
        <f t="shared" ref="D10:D21" si="1">IF(A10="","",A10-(A10^2/$B$7)*$B$5*COS(RADIANS($B$6)))</f>
        <v>0.34719669724770641</v>
      </c>
      <c r="E10" s="13">
        <f t="shared" ref="E10:E21" si="2">IF(A10="","",1-(2*$B$5*A10*COS(RADIANS($B$6))/$B$7))</f>
        <v>1.3146446483180427</v>
      </c>
      <c r="F10" s="13">
        <f t="shared" ref="F10:F21" si="3">IF(A10="","",B10/ABS(E10))</f>
        <v>0.38033091348274256</v>
      </c>
      <c r="G10" s="14" t="str">
        <f t="shared" ref="G10:G21" si="4">IF(A10="","","Use ωe first, then Jacobian")</f>
        <v>Use ωe first, then Jacobian</v>
      </c>
    </row>
    <row r="11" spans="1:10">
      <c r="A11" s="12">
        <v>0.4</v>
      </c>
      <c r="B11" s="12">
        <v>2</v>
      </c>
      <c r="C11" s="13">
        <f t="shared" si="0"/>
        <v>1.6309887869520898E-2</v>
      </c>
      <c r="D11" s="13">
        <f t="shared" si="1"/>
        <v>0.48390523955147807</v>
      </c>
      <c r="E11" s="13">
        <f t="shared" si="2"/>
        <v>1.4195261977573903</v>
      </c>
      <c r="F11" s="13">
        <f t="shared" si="3"/>
        <v>1.408920809745998</v>
      </c>
      <c r="G11" s="14" t="str">
        <f t="shared" si="4"/>
        <v>Use ωe first, then Jacobian</v>
      </c>
    </row>
    <row r="12" spans="1:10">
      <c r="A12" s="12">
        <v>0.5</v>
      </c>
      <c r="B12" s="12">
        <v>0.75</v>
      </c>
      <c r="C12" s="13">
        <f t="shared" si="0"/>
        <v>2.54841997961264E-2</v>
      </c>
      <c r="D12" s="13">
        <f t="shared" si="1"/>
        <v>0.63110193679918447</v>
      </c>
      <c r="E12" s="13">
        <f t="shared" si="2"/>
        <v>1.5244077471967379</v>
      </c>
      <c r="F12" s="13">
        <f t="shared" si="3"/>
        <v>0.49199435084162302</v>
      </c>
      <c r="G12" s="14" t="str">
        <f t="shared" si="4"/>
        <v>Use ωe first, then Jacobian</v>
      </c>
    </row>
    <row r="13" spans="1:10">
      <c r="A13" s="12">
        <v>0.6</v>
      </c>
      <c r="B13" s="12">
        <v>0.25</v>
      </c>
      <c r="C13" s="13">
        <f t="shared" si="0"/>
        <v>3.6697247706422013E-2</v>
      </c>
      <c r="D13" s="13">
        <f t="shared" si="1"/>
        <v>0.78878678899082555</v>
      </c>
      <c r="E13" s="13">
        <f t="shared" si="2"/>
        <v>1.6292892966360855</v>
      </c>
      <c r="F13" s="13">
        <f t="shared" si="3"/>
        <v>0.15344113566336123</v>
      </c>
      <c r="G13" s="14" t="str">
        <f t="shared" si="4"/>
        <v>Use ωe first, then Jacobian</v>
      </c>
    </row>
    <row r="14" spans="1:10">
      <c r="A14" s="15"/>
      <c r="B14" s="15"/>
      <c r="C14" s="13" t="str">
        <f t="shared" si="0"/>
        <v/>
      </c>
      <c r="D14" s="13" t="str">
        <f t="shared" si="1"/>
        <v/>
      </c>
      <c r="E14" s="13" t="str">
        <f t="shared" si="2"/>
        <v/>
      </c>
      <c r="F14" s="13" t="str">
        <f t="shared" si="3"/>
        <v/>
      </c>
      <c r="G14" s="14" t="str">
        <f t="shared" si="4"/>
        <v/>
      </c>
    </row>
    <row r="15" spans="1:10">
      <c r="A15" s="15"/>
      <c r="B15" s="15"/>
      <c r="C15" s="13" t="str">
        <f t="shared" si="0"/>
        <v/>
      </c>
      <c r="D15" s="13" t="str">
        <f t="shared" si="1"/>
        <v/>
      </c>
      <c r="E15" s="13" t="str">
        <f t="shared" si="2"/>
        <v/>
      </c>
      <c r="F15" s="13" t="str">
        <f t="shared" si="3"/>
        <v/>
      </c>
      <c r="G15" s="14" t="str">
        <f t="shared" si="4"/>
        <v/>
      </c>
    </row>
    <row r="16" spans="1:10">
      <c r="A16" s="15"/>
      <c r="B16" s="15"/>
      <c r="C16" s="13" t="str">
        <f t="shared" si="0"/>
        <v/>
      </c>
      <c r="D16" s="13" t="str">
        <f t="shared" si="1"/>
        <v/>
      </c>
      <c r="E16" s="13" t="str">
        <f t="shared" si="2"/>
        <v/>
      </c>
      <c r="F16" s="13" t="str">
        <f t="shared" si="3"/>
        <v/>
      </c>
      <c r="G16" s="14" t="str">
        <f t="shared" si="4"/>
        <v/>
      </c>
    </row>
    <row r="17" spans="1:7">
      <c r="A17" s="15"/>
      <c r="B17" s="15"/>
      <c r="C17" s="13" t="str">
        <f t="shared" si="0"/>
        <v/>
      </c>
      <c r="D17" s="13" t="str">
        <f t="shared" si="1"/>
        <v/>
      </c>
      <c r="E17" s="13" t="str">
        <f t="shared" si="2"/>
        <v/>
      </c>
      <c r="F17" s="13" t="str">
        <f t="shared" si="3"/>
        <v/>
      </c>
      <c r="G17" s="14" t="str">
        <f t="shared" si="4"/>
        <v/>
      </c>
    </row>
    <row r="18" spans="1:7">
      <c r="A18" s="15"/>
      <c r="B18" s="15"/>
      <c r="C18" s="13" t="str">
        <f t="shared" si="0"/>
        <v/>
      </c>
      <c r="D18" s="13" t="str">
        <f t="shared" si="1"/>
        <v/>
      </c>
      <c r="E18" s="13" t="str">
        <f t="shared" si="2"/>
        <v/>
      </c>
      <c r="F18" s="13" t="str">
        <f t="shared" si="3"/>
        <v/>
      </c>
      <c r="G18" s="14" t="str">
        <f t="shared" si="4"/>
        <v/>
      </c>
    </row>
    <row r="19" spans="1:7">
      <c r="A19" s="15"/>
      <c r="B19" s="15"/>
      <c r="C19" s="13" t="str">
        <f t="shared" si="0"/>
        <v/>
      </c>
      <c r="D19" s="13" t="str">
        <f t="shared" si="1"/>
        <v/>
      </c>
      <c r="E19" s="13" t="str">
        <f t="shared" si="2"/>
        <v/>
      </c>
      <c r="F19" s="13" t="str">
        <f t="shared" si="3"/>
        <v/>
      </c>
      <c r="G19" s="14" t="str">
        <f t="shared" si="4"/>
        <v/>
      </c>
    </row>
    <row r="20" spans="1:7">
      <c r="A20" s="15"/>
      <c r="B20" s="15"/>
      <c r="C20" s="13" t="str">
        <f t="shared" si="0"/>
        <v/>
      </c>
      <c r="D20" s="13" t="str">
        <f t="shared" si="1"/>
        <v/>
      </c>
      <c r="E20" s="13" t="str">
        <f t="shared" si="2"/>
        <v/>
      </c>
      <c r="F20" s="13" t="str">
        <f t="shared" si="3"/>
        <v/>
      </c>
      <c r="G20" s="14" t="str">
        <f t="shared" si="4"/>
        <v/>
      </c>
    </row>
    <row r="21" spans="1:7">
      <c r="A21" s="15"/>
      <c r="B21" s="15"/>
      <c r="C21" s="13" t="str">
        <f t="shared" si="0"/>
        <v/>
      </c>
      <c r="D21" s="13" t="str">
        <f t="shared" si="1"/>
        <v/>
      </c>
      <c r="E21" s="13" t="str">
        <f t="shared" si="2"/>
        <v/>
      </c>
      <c r="F21" s="13" t="str">
        <f t="shared" si="3"/>
        <v/>
      </c>
      <c r="G21" s="14" t="str">
        <f t="shared" si="4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zoomScale="188" workbookViewId="0">
      <selection activeCell="B6" sqref="B6"/>
    </sheetView>
  </sheetViews>
  <sheetFormatPr baseColWidth="10" defaultColWidth="8.83203125" defaultRowHeight="15"/>
  <cols>
    <col min="1" max="1" width="41.83203125" style="17" bestFit="1" customWidth="1"/>
    <col min="2" max="3" width="14.6640625" style="17" bestFit="1" customWidth="1"/>
    <col min="4" max="4" width="19" style="17" bestFit="1" customWidth="1"/>
    <col min="5" max="6" width="8.83203125" style="17" bestFit="1" customWidth="1"/>
    <col min="7" max="7" width="8.83203125" style="17"/>
    <col min="8" max="8" width="23" style="17" customWidth="1"/>
    <col min="9" max="9" width="24.33203125" style="17" bestFit="1" customWidth="1"/>
    <col min="10" max="16384" width="8.83203125" style="17"/>
  </cols>
  <sheetData>
    <row r="1" spans="1:9" ht="19">
      <c r="A1" s="16" t="s">
        <v>50</v>
      </c>
    </row>
    <row r="3" spans="1:9" ht="16">
      <c r="A3" s="1" t="s">
        <v>14</v>
      </c>
      <c r="B3" s="1" t="s">
        <v>15</v>
      </c>
      <c r="H3" s="1" t="s">
        <v>16</v>
      </c>
      <c r="I3" s="1" t="s">
        <v>15</v>
      </c>
    </row>
    <row r="4" spans="1:9" ht="16">
      <c r="A4" s="17" t="s">
        <v>51</v>
      </c>
      <c r="B4" s="18">
        <v>0.1</v>
      </c>
      <c r="H4" s="17" t="s">
        <v>52</v>
      </c>
      <c r="I4" s="19">
        <f>SUM(E9:E20)</f>
        <v>0.57425000000000015</v>
      </c>
    </row>
    <row r="5" spans="1:9" ht="32">
      <c r="A5" s="17" t="s">
        <v>53</v>
      </c>
      <c r="B5" s="18">
        <v>3</v>
      </c>
      <c r="H5" s="17" t="s">
        <v>54</v>
      </c>
      <c r="I5" s="19">
        <f>4*SQRT(I4)</f>
        <v>3.0311713907332924</v>
      </c>
    </row>
    <row r="6" spans="1:9" ht="16">
      <c r="A6" s="17" t="s">
        <v>55</v>
      </c>
      <c r="H6" s="17" t="s">
        <v>56</v>
      </c>
      <c r="I6" s="19">
        <f>SUM(E9:E20)</f>
        <v>0.57425000000000015</v>
      </c>
    </row>
    <row r="7" spans="1:9" ht="16">
      <c r="H7" s="17" t="s">
        <v>57</v>
      </c>
      <c r="I7" s="19">
        <f>SUM(F9:F20)</f>
        <v>0.23677500000000007</v>
      </c>
    </row>
    <row r="8" spans="1:9" ht="48">
      <c r="A8" s="1" t="s">
        <v>43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H8" s="17" t="s">
        <v>63</v>
      </c>
      <c r="I8" s="19">
        <f>2*SQRT(I6)</f>
        <v>1.5155856953666462</v>
      </c>
    </row>
    <row r="9" spans="1:9" ht="16">
      <c r="A9" s="20">
        <v>0.2</v>
      </c>
      <c r="B9" s="20">
        <v>0.5</v>
      </c>
      <c r="C9" s="20">
        <v>0.2</v>
      </c>
      <c r="D9" s="19">
        <f t="shared" ref="D9:D20" si="0">IF(A9="","",B9*C9^2)</f>
        <v>2.0000000000000004E-2</v>
      </c>
      <c r="E9" s="19">
        <f t="shared" ref="E9:E20" si="1">IF(A9="","",D9*$B$4)</f>
        <v>2.0000000000000005E-3</v>
      </c>
      <c r="F9" s="19">
        <f t="shared" ref="F9:F20" si="2">IF(A9="","",A9*D9*$B$4)</f>
        <v>4.0000000000000013E-4</v>
      </c>
      <c r="H9" s="17" t="s">
        <v>64</v>
      </c>
      <c r="I9" s="19">
        <f>EXP(-(B5^2)/(2*I6))</f>
        <v>3.9512506294533592E-4</v>
      </c>
    </row>
    <row r="10" spans="1:9" ht="32">
      <c r="A10" s="20">
        <v>0.3</v>
      </c>
      <c r="B10" s="20">
        <v>2</v>
      </c>
      <c r="C10" s="20">
        <v>0.6</v>
      </c>
      <c r="D10" s="19">
        <f t="shared" si="0"/>
        <v>0.72</v>
      </c>
      <c r="E10" s="19">
        <f t="shared" si="1"/>
        <v>7.1999999999999995E-2</v>
      </c>
      <c r="F10" s="19">
        <f t="shared" si="2"/>
        <v>2.1600000000000001E-2</v>
      </c>
      <c r="H10" s="17" t="s">
        <v>65</v>
      </c>
      <c r="I10" s="21" t="str">
        <f>IF(I8="","No data","Use z1/3≈2√m0R for motion amplitude")</f>
        <v>Use z1/3≈2√m0R for motion amplitude</v>
      </c>
    </row>
    <row r="11" spans="1:9">
      <c r="A11" s="20">
        <v>0.4</v>
      </c>
      <c r="B11" s="20">
        <v>3</v>
      </c>
      <c r="C11" s="20">
        <v>1.1000000000000001</v>
      </c>
      <c r="D11" s="19">
        <f t="shared" si="0"/>
        <v>3.6300000000000008</v>
      </c>
      <c r="E11" s="19">
        <f t="shared" si="1"/>
        <v>0.3630000000000001</v>
      </c>
      <c r="F11" s="19">
        <f t="shared" si="2"/>
        <v>0.14520000000000005</v>
      </c>
    </row>
    <row r="12" spans="1:9">
      <c r="A12" s="20">
        <v>0.5</v>
      </c>
      <c r="B12" s="20">
        <v>2</v>
      </c>
      <c r="C12" s="20">
        <v>0.8</v>
      </c>
      <c r="D12" s="19">
        <f t="shared" si="0"/>
        <v>1.2800000000000002</v>
      </c>
      <c r="E12" s="19">
        <f t="shared" si="1"/>
        <v>0.12800000000000003</v>
      </c>
      <c r="F12" s="19">
        <f t="shared" si="2"/>
        <v>6.4000000000000015E-2</v>
      </c>
    </row>
    <row r="13" spans="1:9">
      <c r="A13" s="20">
        <v>0.6</v>
      </c>
      <c r="B13" s="20">
        <v>1</v>
      </c>
      <c r="C13" s="20">
        <v>0.3</v>
      </c>
      <c r="D13" s="19">
        <f t="shared" si="0"/>
        <v>0.09</v>
      </c>
      <c r="E13" s="19">
        <f t="shared" si="1"/>
        <v>8.9999999999999993E-3</v>
      </c>
      <c r="F13" s="19">
        <f t="shared" si="2"/>
        <v>5.4000000000000003E-3</v>
      </c>
    </row>
    <row r="14" spans="1:9">
      <c r="A14" s="20">
        <v>0.7</v>
      </c>
      <c r="B14" s="20">
        <v>0.25</v>
      </c>
      <c r="C14" s="20">
        <v>0.1</v>
      </c>
      <c r="D14" s="19">
        <f t="shared" si="0"/>
        <v>2.5000000000000005E-3</v>
      </c>
      <c r="E14" s="19">
        <f t="shared" si="1"/>
        <v>2.5000000000000006E-4</v>
      </c>
      <c r="F14" s="19">
        <f t="shared" si="2"/>
        <v>1.7500000000000003E-4</v>
      </c>
    </row>
    <row r="15" spans="1:9" ht="16">
      <c r="A15" s="22"/>
      <c r="B15" s="22"/>
      <c r="C15" s="22"/>
      <c r="D15" s="19" t="str">
        <f t="shared" si="0"/>
        <v/>
      </c>
      <c r="E15" s="19" t="str">
        <f t="shared" si="1"/>
        <v/>
      </c>
      <c r="F15" s="19" t="str">
        <f t="shared" si="2"/>
        <v/>
      </c>
    </row>
    <row r="16" spans="1:9" ht="16">
      <c r="A16" s="22"/>
      <c r="B16" s="22"/>
      <c r="C16" s="22"/>
      <c r="D16" s="19" t="str">
        <f t="shared" si="0"/>
        <v/>
      </c>
      <c r="E16" s="19" t="str">
        <f t="shared" si="1"/>
        <v/>
      </c>
      <c r="F16" s="19" t="str">
        <f t="shared" si="2"/>
        <v/>
      </c>
    </row>
    <row r="17" spans="1:6" ht="16">
      <c r="A17" s="22"/>
      <c r="B17" s="22"/>
      <c r="C17" s="22"/>
      <c r="D17" s="19" t="str">
        <f t="shared" si="0"/>
        <v/>
      </c>
      <c r="E17" s="19" t="str">
        <f t="shared" si="1"/>
        <v/>
      </c>
      <c r="F17" s="19" t="str">
        <f t="shared" si="2"/>
        <v/>
      </c>
    </row>
    <row r="18" spans="1:6" ht="16">
      <c r="A18" s="22"/>
      <c r="B18" s="22"/>
      <c r="C18" s="22"/>
      <c r="D18" s="19" t="str">
        <f t="shared" si="0"/>
        <v/>
      </c>
      <c r="E18" s="19" t="str">
        <f t="shared" si="1"/>
        <v/>
      </c>
      <c r="F18" s="19" t="str">
        <f t="shared" si="2"/>
        <v/>
      </c>
    </row>
    <row r="19" spans="1:6" ht="16">
      <c r="A19" s="22"/>
      <c r="B19" s="22"/>
      <c r="C19" s="22"/>
      <c r="D19" s="19" t="str">
        <f t="shared" si="0"/>
        <v/>
      </c>
      <c r="E19" s="19" t="str">
        <f t="shared" si="1"/>
        <v/>
      </c>
      <c r="F19" s="19" t="str">
        <f t="shared" si="2"/>
        <v/>
      </c>
    </row>
    <row r="20" spans="1:6" ht="16">
      <c r="A20" s="22"/>
      <c r="B20" s="22"/>
      <c r="C20" s="22"/>
      <c r="D20" s="19" t="str">
        <f t="shared" si="0"/>
        <v/>
      </c>
      <c r="E20" s="19" t="str">
        <f t="shared" si="1"/>
        <v/>
      </c>
      <c r="F20" s="19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Wave_Stats</vt:lpstr>
      <vt:lpstr>Encounter</vt:lpstr>
      <vt:lpstr>Response_Spectrum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Fernandez Tello</cp:lastModifiedBy>
  <dcterms:modified xsi:type="dcterms:W3CDTF">2026-05-14T10:44:50Z</dcterms:modified>
</cp:coreProperties>
</file>