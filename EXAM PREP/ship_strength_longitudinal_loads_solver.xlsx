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6ae5ee45bf44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9283d2532eb4c15"/>
    <x:sheet xmlns:r="http://schemas.openxmlformats.org/officeDocument/2006/relationships" name="Uniform_Buoyancy" sheetId="2" r:id="R3d992ade15014696"/>
    <x:sheet xmlns:r="http://schemas.openxmlformats.org/officeDocument/2006/relationships" name="Custom_Buoyancy" sheetId="3" r:id="Rc1943c9d7d3844c9"/>
    <x:sheet xmlns:r="http://schemas.openxmlformats.org/officeDocument/2006/relationships" name="Example_4segment" sheetId="4" r:id="R1e2d307dd1da43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1"/>
      <x:color rgb="1F1F1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3F3F3"/>
      </x:patternFill>
    </x:fill>
    <x:fill>
      <x:patternFill patternType="solid">
        <x:fgColor rgb="5B9BD5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  <x:fill>
      <x:patternFill patternType="solid">
        <x:fgColor rgb="E2F0D9"/>
      </x:patternFill>
    </x:fill>
  </x:fills>
  <x:borders count="22">
    <x:border/>
    <x:border/>
    <x:border>
      <x:left>
        <x:color rgb="B7B7B7"/>
      </x:left>
      <x:top>
        <x:color rgb="B7B7B7"/>
      </x:top>
    </x:border>
    <x:border>
      <x:right>
        <x:color rgb="B7B7B7"/>
      </x:right>
      <x:top>
        <x:color rgb="B7B7B7"/>
      </x:top>
    </x:border>
    <x:border>
      <x:left>
        <x:color rgb="B7B7B7"/>
      </x:left>
    </x:border>
    <x:border>
      <x:right>
        <x:color rgb="B7B7B7"/>
      </x:right>
    </x:border>
    <x:border>
      <x:left>
        <x:color rgb="B7B7B7"/>
      </x:left>
      <x:bottom>
        <x:color rgb="B7B7B7"/>
      </x:bottom>
    </x:border>
    <x:border>
      <x:right>
        <x:color rgb="B7B7B7"/>
      </x:right>
      <x:bottom>
        <x:color rgb="B7B7B7"/>
      </x:bottom>
    </x:border>
    <x:border>
      <x:left>
        <x:color rgb="B7B7B7"/>
      </x:left>
      <x:top>
        <x:color rgb="B7B7B7"/>
      </x:top>
    </x:border>
    <x:border>
      <x:right>
        <x:color rgb="B7B7B7"/>
      </x:right>
      <x:top>
        <x:color rgb="B7B7B7"/>
      </x:top>
    </x:border>
    <x:border>
      <x:left>
        <x:color rgb="B7B7B7"/>
      </x:left>
    </x:border>
    <x:border>
      <x:right>
        <x:color rgb="B7B7B7"/>
      </x:right>
    </x:border>
    <x:border>
      <x:left>
        <x:color rgb="B7B7B7"/>
      </x:left>
      <x:bottom>
        <x:color rgb="B7B7B7"/>
      </x:bottom>
    </x:border>
    <x:border>
      <x:right>
        <x:color rgb="B7B7B7"/>
      </x:right>
      <x:bottom>
        <x:color rgb="B7B7B7"/>
      </x:bottom>
    </x:border>
    <x:border>
      <x:top>
        <x:color rgb="B7B7B7"/>
      </x:top>
    </x:border>
    <x:border>
      <x:bottom>
        <x:color rgb="B7B7B7"/>
      </x:bottom>
    </x:border>
    <x:border>
      <x:top>
        <x:color rgb="B7B7B7"/>
      </x:top>
    </x:border>
    <x:border>
      <x:bottom>
        <x:color rgb="B7B7B7"/>
      </x:bottom>
    </x:border>
    <x:border>
      <x:left>
        <x:color rgb="B7B7B7"/>
      </x:left>
      <x:top>
        <x:color rgb="B7B7B7"/>
      </x:top>
      <x:bottom>
        <x:color rgb="B7B7B7"/>
      </x:bottom>
    </x:border>
    <x:border>
      <x:right>
        <x:color rgb="B7B7B7"/>
      </x:right>
      <x:top>
        <x:color rgb="B7B7B7"/>
      </x:top>
      <x:bottom>
        <x:color rgb="B7B7B7"/>
      </x:bottom>
    </x:border>
    <x:border>
      <x:left>
        <x:color rgb="B7B7B7"/>
      </x:left>
      <x:top>
        <x:color rgb="B7B7B7"/>
      </x:top>
      <x:bottom>
        <x:color rgb="B7B7B7"/>
      </x:bottom>
    </x:border>
    <x:border>
      <x:right>
        <x:color rgb="B7B7B7"/>
      </x:right>
      <x:top>
        <x:color rgb="B7B7B7"/>
      </x:top>
      <x:bottom>
        <x:color rgb="B7B7B7"/>
      </x:bottom>
    </x:border>
  </x:borders>
  <x:cellStyleXfs count="1">
    <x:xf numFmtId="0" fontId="0" fillId="0" borderId="0"/>
  </x:cellStyleXfs>
  <x:cellXfs count="2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4" borderId="8" xfId="0" applyNumberFormat="1" applyFont="1" applyFill="1" applyBorder="1" applyAlignment="1">
      <x:alignment horizontal="center" vertical="center" wrapText="1"/>
    </x:xf>
    <x:xf numFmtId="0" fontId="2" fillId="4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/>
    <x:xf numFmtId="0" fontId="0" fillId="0" borderId="3" xfId="0" applyNumberFormat="1" applyFont="1" applyFill="1" applyBorder="1"/>
    <x:xf numFmtId="0" fontId="0" fillId="0" borderId="0" xfId="0" applyNumberFormat="1" applyFont="1" applyFill="1" applyBorder="1"/>
    <x:xf numFmtId="0" fontId="0" fillId="3" borderId="4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1" fillId="2" borderId="8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/>
    <x:xf numFmtId="0" fontId="0" fillId="0" borderId="9" xfId="0" applyNumberFormat="1" applyFont="1" applyFill="1" applyBorder="1"/>
    <x:xf numFmtId="0" fontId="0" fillId="3" borderId="10" xfId="0" applyNumberFormat="1" applyFont="1" applyFill="1" applyBorder="1" applyAlignment="1">
      <x:alignment wrapText="1"/>
    </x:xf>
    <x:xf numFmtId="0" fontId="3" fillId="5" borderId="10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/>
    <x:xf numFmtId="0" fontId="0" fillId="0" borderId="2" xfId="0" applyNumberFormat="1" applyFont="1" applyFill="1" applyBorder="1"/>
    <x:xf numFmtId="0" fontId="0" fillId="0" borderId="8" xfId="0" applyNumberFormat="1" applyFont="1" applyFill="1" applyBorder="1"/>
    <x:xf numFmtId="0" fontId="0" fillId="6" borderId="3" xfId="0" applyNumberFormat="1" applyFont="1" applyFill="1" applyBorder="1"/>
    <x:xf numFmtId="0" fontId="0" fillId="6" borderId="5" xfId="0" applyNumberFormat="1" applyFont="1" applyFill="1" applyBorder="1"/>
    <x:xf numFmtId="0" fontId="0" fillId="6" borderId="7" xfId="0" applyNumberFormat="1" applyFont="1" applyFill="1" applyBorder="1"/>
    <x:xf numFmtId="0" fontId="0" fillId="6" borderId="9" xfId="0" applyNumberFormat="1" applyFont="1" applyFill="1" applyBorder="1"/>
    <x:xf numFmtId="0" fontId="0" fillId="6" borderId="11" xfId="0" applyNumberFormat="1" applyFont="1" applyFill="1" applyBorder="1"/>
    <x:xf numFmtId="0" fontId="0" fillId="6" borderId="13" xfId="0" applyNumberFormat="1" applyFont="1" applyFill="1" applyBorder="1"/>
    <x:xf numFmtId="200" fontId="0" fillId="6" borderId="3" xfId="0" applyNumberFormat="1" applyFont="1" applyFill="1" applyBorder="1"/>
    <x:xf numFmtId="200" fontId="0" fillId="6" borderId="5" xfId="0" applyNumberFormat="1" applyFont="1" applyFill="1" applyBorder="1"/>
    <x:xf numFmtId="200" fontId="0" fillId="6" borderId="7" xfId="0" applyNumberFormat="1" applyFont="1" applyFill="1" applyBorder="1"/>
    <x:xf numFmtId="200" fontId="0" fillId="6" borderId="9" xfId="0" applyNumberFormat="1" applyFont="1" applyFill="1" applyBorder="1"/>
    <x:xf numFmtId="200" fontId="0" fillId="6" borderId="11" xfId="0" applyNumberFormat="1" applyFont="1" applyFill="1" applyBorder="1"/>
    <x:xf numFmtId="200" fontId="0" fillId="6" borderId="13" xfId="0" applyNumberFormat="1" applyFont="1" applyFill="1" applyBorder="1"/>
    <x:xf numFmtId="0" fontId="0" fillId="7" borderId="3" xfId="0" applyNumberFormat="1" applyFont="1" applyFill="1" applyBorder="1"/>
    <x:xf numFmtId="0" fontId="0" fillId="7" borderId="5" xfId="0" applyNumberFormat="1" applyFont="1" applyFill="1" applyBorder="1"/>
    <x:xf numFmtId="0" fontId="0" fillId="7" borderId="7" xfId="0" applyNumberFormat="1" applyFont="1" applyFill="1" applyBorder="1"/>
    <x:xf numFmtId="0" fontId="0" fillId="7" borderId="9" xfId="0" applyNumberFormat="1" applyFont="1" applyFill="1" applyBorder="1"/>
    <x:xf numFmtId="0" fontId="0" fillId="7" borderId="11" xfId="0" applyNumberFormat="1" applyFont="1" applyFill="1" applyBorder="1"/>
    <x:xf numFmtId="0" fontId="0" fillId="7" borderId="13" xfId="0" applyNumberFormat="1" applyFont="1" applyFill="1" applyBorder="1"/>
    <x:xf numFmtId="200" fontId="0" fillId="7" borderId="3" xfId="0" applyNumberFormat="1" applyFont="1" applyFill="1" applyBorder="1"/>
    <x:xf numFmtId="200" fontId="0" fillId="7" borderId="5" xfId="0" applyNumberFormat="1" applyFont="1" applyFill="1" applyBorder="1"/>
    <x:xf numFmtId="200" fontId="0" fillId="7" borderId="9" xfId="0" applyNumberFormat="1" applyFont="1" applyFill="1" applyBorder="1"/>
    <x:xf numFmtId="200" fontId="0" fillId="7" borderId="11" xfId="0" applyNumberFormat="1" applyFont="1" applyFill="1" applyBorder="1"/>
    <x:xf numFmtId="0" fontId="2" fillId="4" borderId="14" xfId="0" applyNumberFormat="1" applyFont="1" applyFill="1" applyBorder="1" applyAlignment="1">
      <x:alignment horizontal="center" vertical="center" wrapText="1"/>
    </x:xf>
    <x:xf numFmtId="0" fontId="2" fillId="4" borderId="16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15" xfId="0" applyNumberFormat="1" applyFont="1" applyFill="1" applyBorder="1"/>
    <x:xf numFmtId="0" fontId="0" fillId="6" borderId="1" xfId="0" applyNumberFormat="1" applyFont="1" applyFill="1" applyBorder="1"/>
    <x:xf numFmtId="0" fontId="0" fillId="6" borderId="17" xfId="0" applyNumberFormat="1" applyFont="1" applyFill="1" applyBorder="1"/>
    <x:xf numFmtId="200" fontId="0" fillId="6" borderId="0" xfId="0" applyNumberFormat="1" applyFont="1" applyFill="1" applyBorder="1"/>
    <x:xf numFmtId="200" fontId="0" fillId="6" borderId="15" xfId="0" applyNumberFormat="1" applyFont="1" applyFill="1" applyBorder="1"/>
    <x:xf numFmtId="200" fontId="0" fillId="6" borderId="1" xfId="0" applyNumberFormat="1" applyFont="1" applyFill="1" applyBorder="1"/>
    <x:xf numFmtId="200" fontId="0" fillId="6" borderId="17" xfId="0" applyNumberFormat="1" applyFont="1" applyFill="1" applyBorder="1"/>
    <x:xf numFmtId="0" fontId="0" fillId="3" borderId="7" xfId="0" applyNumberFormat="1" applyFont="1" applyFill="1" applyBorder="1"/>
    <x:xf numFmtId="0" fontId="0" fillId="3" borderId="13" xfId="0" applyNumberFormat="1" applyFont="1" applyFill="1" applyBorder="1"/>
    <x:xf numFmtId="0" fontId="0" fillId="3" borderId="7" xfId="0" applyNumberFormat="1" applyFont="1" applyFill="1" applyBorder="1" applyAlignment="1">
      <x:alignment wrapText="1"/>
    </x:xf>
    <x:xf numFmtId="0" fontId="0" fillId="3" borderId="13" xfId="0" applyNumberFormat="1" applyFont="1" applyFill="1" applyBorder="1" applyAlignment="1">
      <x:alignment wrapText="1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6" borderId="19" xfId="0" applyNumberFormat="1" applyFont="1" applyFill="1" applyBorder="1"/>
    <x:xf numFmtId="0" fontId="0" fillId="6" borderId="2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vertical="center"/>
    </x:xf>
    <x:xf numFmtId="200" fontId="0" fillId="6" borderId="3" xfId="0" applyNumberFormat="1" applyFont="1" applyFill="1" applyBorder="1" applyAlignment="1">
      <x:alignment vertical="center"/>
    </x:xf>
    <x:xf numFmtId="200" fontId="0" fillId="7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0" fontId="0" fillId="6" borderId="5" xfId="0" applyNumberFormat="1" applyFont="1" applyFill="1" applyBorder="1" applyAlignment="1">
      <x:alignment vertical="center"/>
    </x:xf>
    <x:xf numFmtId="200" fontId="0" fillId="7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0" fontId="0" fillId="6" borderId="7" xfId="0" applyNumberFormat="1" applyFont="1" applyFill="1" applyBorder="1" applyAlignment="1">
      <x:alignment vertical="center"/>
    </x:xf>
    <x:xf numFmtId="0" fontId="0" fillId="7" borderId="7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200" fontId="0" fillId="6" borderId="0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vertical="center"/>
    </x:xf>
    <x:xf numFmtId="200" fontId="0" fillId="6" borderId="15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vertical="center"/>
    </x:xf>
    <x:xf numFmtId="200" fontId="0" fillId="6" borderId="9" xfId="0" applyNumberFormat="1" applyFont="1" applyFill="1" applyBorder="1" applyAlignment="1">
      <x:alignment vertical="center"/>
    </x:xf>
    <x:xf numFmtId="200" fontId="0" fillId="7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200" fontId="0" fillId="6" borderId="11" xfId="0" applyNumberFormat="1" applyFont="1" applyFill="1" applyBorder="1" applyAlignment="1">
      <x:alignment vertical="center"/>
    </x:xf>
    <x:xf numFmtId="200" fontId="0" fillId="7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200" fontId="0" fillId="6" borderId="13" xfId="0" applyNumberFormat="1" applyFont="1" applyFill="1" applyBorder="1" applyAlignment="1">
      <x:alignment vertical="center"/>
    </x:xf>
    <x:xf numFmtId="0" fontId="0" fillId="7" borderId="13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horizontal="center" vertical="center"/>
    </x:xf>
    <x:xf numFmtId="200" fontId="0" fillId="6" borderId="1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vertical="center"/>
    </x:xf>
    <x:xf numFmtId="200" fontId="0" fillId="6" borderId="17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horizontal="center" vertical="center"/>
    </x:xf>
    <x:xf numFmtId="200" fontId="0" fillId="6" borderId="3" xfId="0" applyNumberFormat="1" applyFont="1" applyFill="1" applyBorder="1" applyAlignment="1">
      <x:alignment horizontal="center" vertical="center"/>
    </x:xf>
    <x:xf numFmtId="200" fontId="0" fillId="7" borderId="3" xfId="0" applyNumberFormat="1" applyFont="1" applyFill="1" applyBorder="1" applyAlignment="1">
      <x:alignment horizontal="center" vertical="center"/>
    </x:xf>
    <x:xf numFmtId="200" fontId="0" fillId="6" borderId="5" xfId="0" applyNumberFormat="1" applyFont="1" applyFill="1" applyBorder="1" applyAlignment="1">
      <x:alignment horizontal="center" vertical="center"/>
    </x:xf>
    <x:xf numFmtId="200" fontId="0" fillId="7" borderId="5" xfId="0" applyNumberFormat="1" applyFont="1" applyFill="1" applyBorder="1" applyAlignment="1">
      <x:alignment horizontal="center" vertical="center"/>
    </x:xf>
    <x:xf numFmtId="200" fontId="0" fillId="6" borderId="7" xfId="0" applyNumberFormat="1" applyFont="1" applyFill="1" applyBorder="1" applyAlignment="1">
      <x:alignment horizontal="center" vertical="center"/>
    </x:xf>
    <x:xf numFmtId="0" fontId="0" fillId="7" borderId="7" xfId="0" applyNumberFormat="1" applyFont="1" applyFill="1" applyBorder="1" applyAlignment="1">
      <x:alignment horizontal="center" vertical="center"/>
    </x:xf>
    <x:xf numFmtId="200" fontId="0" fillId="6" borderId="0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200" fontId="0" fillId="6" borderId="15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200" fontId="0" fillId="6" borderId="9" xfId="0" applyNumberFormat="1" applyFont="1" applyFill="1" applyBorder="1" applyAlignment="1">
      <x:alignment horizontal="center" vertical="center"/>
    </x:xf>
    <x:xf numFmtId="200" fontId="0" fillId="7" borderId="9" xfId="0" applyNumberFormat="1" applyFont="1" applyFill="1" applyBorder="1" applyAlignment="1">
      <x:alignment horizontal="center" vertical="center"/>
    </x:xf>
    <x:xf numFmtId="200" fontId="0" fillId="6" borderId="11" xfId="0" applyNumberFormat="1" applyFont="1" applyFill="1" applyBorder="1" applyAlignment="1">
      <x:alignment horizontal="center" vertical="center"/>
    </x:xf>
    <x:xf numFmtId="200" fontId="0" fillId="7" borderId="11" xfId="0" applyNumberFormat="1" applyFont="1" applyFill="1" applyBorder="1" applyAlignment="1">
      <x:alignment horizontal="center" vertical="center"/>
    </x:xf>
    <x:xf numFmtId="200" fontId="0" fillId="6" borderId="13" xfId="0" applyNumberFormat="1" applyFont="1" applyFill="1" applyBorder="1" applyAlignment="1">
      <x:alignment horizontal="center" vertical="center"/>
    </x:xf>
    <x:xf numFmtId="0" fontId="0" fillId="7" borderId="13" xfId="0" applyNumberFormat="1" applyFont="1" applyFill="1" applyBorder="1" applyAlignment="1">
      <x:alignment horizontal="center" vertical="center"/>
    </x:xf>
    <x:xf numFmtId="200" fontId="0" fillId="6" borderId="1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200" fontId="0" fillId="6" borderId="17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horizontal="left" vertical="center"/>
    </x:xf>
    <x:xf numFmtId="0" fontId="0" fillId="0" borderId="4" xfId="0" applyNumberFormat="1" applyFont="1" applyFill="1" applyBorder="1" applyAlignment="1">
      <x:alignment horizontal="left" vertical="center"/>
    </x:xf>
    <x:xf numFmtId="0" fontId="0" fillId="0" borderId="6" xfId="0" applyNumberFormat="1" applyFont="1" applyFill="1" applyBorder="1" applyAlignment="1">
      <x:alignment horizontal="left" vertical="center"/>
    </x:xf>
    <x:xf numFmtId="0" fontId="0" fillId="0" borderId="8" xfId="0" applyNumberFormat="1" applyFont="1" applyFill="1" applyBorder="1" applyAlignment="1">
      <x:alignment horizontal="left" vertical="center"/>
    </x:xf>
    <x:xf numFmtId="0" fontId="0" fillId="0" borderId="10" xfId="0" applyNumberFormat="1" applyFont="1" applyFill="1" applyBorder="1" applyAlignment="1">
      <x:alignment horizontal="left" vertical="center"/>
    </x:xf>
    <x:xf numFmtId="0" fontId="0" fillId="0" borderId="12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 applyAlignment="1">
      <x:alignment horizontal="left" wrapText="1"/>
    </x:xf>
    <x:xf numFmtId="0" fontId="0" fillId="3" borderId="1" xfId="0" applyNumberFormat="1" applyFont="1" applyFill="1" applyBorder="1" applyAlignment="1">
      <x:alignment horizontal="left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horizontal="left" vertical="center" wrapText="1"/>
    </x:xf>
    <x:xf numFmtId="200" fontId="0" fillId="6" borderId="3" xfId="0" applyNumberFormat="1" applyFont="1" applyFill="1" applyBorder="1" applyAlignment="1">
      <x:alignment horizontal="center" vertical="center" wrapText="1"/>
    </x:xf>
    <x:xf numFmtId="200" fontId="0" fillId="7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left" vertical="center" wrapText="1"/>
    </x:xf>
    <x:xf numFmtId="200" fontId="0" fillId="6" borderId="5" xfId="0" applyNumberFormat="1" applyFont="1" applyFill="1" applyBorder="1" applyAlignment="1">
      <x:alignment horizontal="center" vertical="center" wrapText="1"/>
    </x:xf>
    <x:xf numFmtId="200" fontId="0" fillId="7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left" vertical="center" wrapText="1"/>
    </x:xf>
    <x:xf numFmtId="200" fontId="0" fillId="6" borderId="7" xfId="0" applyNumberFormat="1" applyFont="1" applyFill="1" applyBorder="1" applyAlignment="1">
      <x:alignment horizontal="center" vertical="center" wrapText="1"/>
    </x:xf>
    <x:xf numFmtId="0" fontId="0" fillId="7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200" fontId="0" fillId="6" borderId="0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200" fontId="0" fillId="6" borderId="15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200" fontId="0" fillId="6" borderId="9" xfId="0" applyNumberFormat="1" applyFont="1" applyFill="1" applyBorder="1" applyAlignment="1">
      <x:alignment horizontal="center" vertical="center" wrapText="1"/>
    </x:xf>
    <x:xf numFmtId="200" fontId="0" fillId="7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left" vertical="center" wrapText="1"/>
    </x:xf>
    <x:xf numFmtId="200" fontId="0" fillId="6" borderId="11" xfId="0" applyNumberFormat="1" applyFont="1" applyFill="1" applyBorder="1" applyAlignment="1">
      <x:alignment horizontal="center" vertical="center" wrapText="1"/>
    </x:xf>
    <x:xf numFmtId="200" fontId="0" fillId="7" borderId="11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 applyAlignment="1">
      <x:alignment horizontal="left" vertical="center" wrapText="1"/>
    </x:xf>
    <x:xf numFmtId="200" fontId="0" fillId="6" borderId="13" xfId="0" applyNumberFormat="1" applyFont="1" applyFill="1" applyBorder="1" applyAlignment="1">
      <x:alignment horizontal="center" vertical="center" wrapText="1"/>
    </x:xf>
    <x:xf numFmtId="0" fontId="0" fillId="7" borderId="13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0" fontId="0" fillId="6" borderId="1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horizontal="center" vertical="center" wrapText="1"/>
    </x:xf>
    <x:xf numFmtId="200" fontId="0" fillId="6" borderId="17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6" borderId="3" xfId="0" applyNumberFormat="1" applyFont="1" applyFill="1" applyBorder="1" applyAlignment="1">
      <x:alignment vertical="center"/>
    </x:xf>
    <x:xf numFmtId="0" fontId="0" fillId="3" borderId="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/>
    </x:xf>
    <x:xf numFmtId="0" fontId="0" fillId="6" borderId="15" xfId="0" applyNumberFormat="1" applyFont="1" applyFill="1" applyBorder="1" applyAlignment="1">
      <x:alignment vertical="center"/>
    </x:xf>
    <x:xf numFmtId="0" fontId="0" fillId="6" borderId="9" xfId="0" applyNumberFormat="1" applyFont="1" applyFill="1" applyBorder="1" applyAlignment="1">
      <x:alignment vertical="center"/>
    </x:xf>
    <x:xf numFmtId="0" fontId="0" fillId="3" borderId="13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/>
    </x:xf>
    <x:xf numFmtId="0" fontId="0" fillId="6" borderId="17" xfId="0" applyNumberFormat="1" applyFont="1" applyFill="1" applyBorder="1" applyAlignment="1">
      <x:alignment vertical="center"/>
    </x:xf>
    <x:xf numFmtId="0" fontId="0" fillId="6" borderId="3" xfId="0" applyNumberFormat="1" applyFont="1" applyFill="1" applyBorder="1" applyAlignment="1">
      <x:alignment horizontal="center" vertical="center"/>
    </x:xf>
    <x:xf numFmtId="0" fontId="0" fillId="3" borderId="7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horizontal="center" vertical="center"/>
    </x:xf>
    <x:xf numFmtId="0" fontId="0" fillId="6" borderId="15" xfId="0" applyNumberFormat="1" applyFont="1" applyFill="1" applyBorder="1" applyAlignment="1">
      <x:alignment horizontal="center" vertical="center"/>
    </x:xf>
    <x:xf numFmtId="0" fontId="0" fillId="6" borderId="9" xfId="0" applyNumberFormat="1" applyFont="1" applyFill="1" applyBorder="1" applyAlignment="1">
      <x:alignment horizontal="center" vertical="center"/>
    </x:xf>
    <x:xf numFmtId="0" fontId="0" fillId="3" borderId="1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horizontal="center" vertical="center"/>
    </x:xf>
    <x:xf numFmtId="0" fontId="0" fillId="6" borderId="17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 applyAlignment="1">
      <x:alignment horizontal="left"/>
    </x:xf>
    <x:xf numFmtId="0" fontId="0" fillId="6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wrapText="1"/>
    </x:xf>
    <x:xf numFmtId="0" fontId="0" fillId="6" borderId="0" xfId="0" applyNumberFormat="1" applyFont="1" applyFill="1" applyBorder="1" applyAlignment="1">
      <x:alignment horizontal="center" vertical="center" wrapText="1"/>
    </x:xf>
    <x:xf numFmtId="0" fontId="0" fillId="6" borderId="15" xfId="0" applyNumberFormat="1" applyFont="1" applyFill="1" applyBorder="1" applyAlignment="1">
      <x:alignment horizontal="center" vertical="center" wrapText="1"/>
    </x:xf>
    <x:xf numFmtId="0" fontId="0" fillId="6" borderId="9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left" wrapText="1"/>
    </x:xf>
    <x:xf numFmtId="0" fontId="0" fillId="6" borderId="1" xfId="0" applyNumberFormat="1" applyFont="1" applyFill="1" applyBorder="1" applyAlignment="1">
      <x:alignment horizontal="center" vertical="center" wrapText="1"/>
    </x:xf>
    <x:xf numFmtId="0" fontId="0" fillId="6" borderId="17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 applyAlignment="1">
      <x:alignment wrapText="1"/>
    </x:xf>
    <x:xf numFmtId="0" fontId="0" fillId="6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0436464d0b4cd1" /><Relationship Type="http://schemas.openxmlformats.org/officeDocument/2006/relationships/theme" Target="/xl/theme/theme1.xml" Id="R292bf4d22c0049b9" /><Relationship Type="http://schemas.openxmlformats.org/officeDocument/2006/relationships/sharedStrings" Target="/xl/sharedStrings.xml" Id="R9692bb713e63453b" /><Relationship Type="http://schemas.openxmlformats.org/officeDocument/2006/relationships/worksheet" Target="/xl/worksheets/sheet1.xml" Id="R89283d2532eb4c15" /><Relationship Type="http://schemas.openxmlformats.org/officeDocument/2006/relationships/worksheet" Target="/xl/worksheets/sheet2.xml" Id="R3d992ade15014696" /><Relationship Type="http://schemas.openxmlformats.org/officeDocument/2006/relationships/worksheet" Target="/xl/worksheets/sheet3.xml" Id="Rc1943c9d7d3844c9" /><Relationship Type="http://schemas.openxmlformats.org/officeDocument/2006/relationships/worksheet" Target="/xl/worksheets/sheet4.xml" Id="R1e2d307dd1da43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50" t="str">
        <x:v>Ship Strength Longitudinal Loads Solver</x:v>
      </x:c>
      <x:c r="B1" s="51"/>
      <x:c r="C1" s="51"/>
      <x:c r="D1" s="51"/>
      <x:c r="E1" s="51"/>
      <x:c r="F1" s="51"/>
      <x:c r="G1" s="51"/>
      <x:c r="H1" s="52"/>
    </x:row>
    <x:row r="2">
      <x:c r="A2" s="26"/>
      <x:c r="B2" s="53"/>
      <x:c r="C2" s="53"/>
      <x:c r="D2" s="53"/>
      <x:c r="E2" s="53"/>
      <x:c r="F2" s="53"/>
      <x:c r="G2" s="53"/>
      <x:c r="H2" s="27"/>
    </x:row>
    <x:row r="3">
      <x:c r="A3" s="54" t="str">
        <x:v>This workbook is for Section 6: Ship strength longitudinal loads. It focuses on distributed loads, buoyancy, net load q(x), shear force V(x), and bending moment M(x).</x:v>
      </x:c>
      <x:c r="B3" s="53"/>
      <x:c r="C3" s="53"/>
      <x:c r="D3" s="53"/>
      <x:c r="E3" s="53"/>
      <x:c r="F3" s="53"/>
      <x:c r="G3" s="53"/>
      <x:c r="H3" s="27"/>
    </x:row>
    <x:row r="4">
      <x:c r="A4" s="26"/>
      <x:c r="B4" s="53"/>
      <x:c r="C4" s="53"/>
      <x:c r="D4" s="53"/>
      <x:c r="E4" s="53"/>
      <x:c r="F4" s="53"/>
      <x:c r="G4" s="53"/>
      <x:c r="H4" s="27"/>
    </x:row>
    <x:row r="5">
      <x:c r="A5" s="24" t="str">
        <x:v>Sheet</x:v>
      </x:c>
      <x:c r="B5" s="25" t="str">
        <x:v>Purpose</x:v>
      </x:c>
      <x:c r="C5" s="53"/>
      <x:c r="D5" s="53"/>
      <x:c r="E5" s="53"/>
      <x:c r="F5" s="53"/>
      <x:c r="G5" s="53"/>
      <x:c r="H5" s="27"/>
    </x:row>
    <x:row r="6">
      <x:c r="A6" s="36" t="str">
        <x:v>Uniform_Buoyancy</x:v>
      </x:c>
      <x:c r="B6" s="37" t="str">
        <x:v>Rectangular barge at uniform draught. Enter downward weight intensity by segments. Sheet computes uniform buoyancy q_B, breadth B, net load, shear and bending moment.</x:v>
      </x:c>
      <x:c r="C6" s="53"/>
      <x:c r="D6" s="53"/>
      <x:c r="E6" s="53"/>
      <x:c r="F6" s="53"/>
      <x:c r="G6" s="53"/>
      <x:c r="H6" s="27"/>
    </x:row>
    <x:row r="7">
      <x:c r="A7" s="36" t="str">
        <x:v>Custom_Buoyancy</x:v>
      </x:c>
      <x:c r="B7" s="37" t="str">
        <x:v>General segmented solver. Enter both downward weight w and upward buoyancy b for each segment. Sheet computes q=w-b, total equilibrium, shear and bending moment.</x:v>
      </x:c>
      <x:c r="C7" s="53"/>
      <x:c r="D7" s="53"/>
      <x:c r="E7" s="53"/>
      <x:c r="F7" s="53"/>
      <x:c r="G7" s="53"/>
      <x:c r="H7" s="27"/>
    </x:row>
    <x:row r="8">
      <x:c r="A8" s="36" t="str">
        <x:v>Example_4segment</x:v>
      </x:c>
      <x:c r="B8" s="37" t="str">
        <x:v>Classic 2p-5p-4p-2p example preloaded. Useful to study breadth, buoyancy, and sagging/hogging logic.</x:v>
      </x:c>
      <x:c r="C8" s="53"/>
      <x:c r="D8" s="53"/>
      <x:c r="E8" s="53"/>
      <x:c r="F8" s="53"/>
      <x:c r="G8" s="53"/>
      <x:c r="H8" s="27"/>
    </x:row>
    <x:row r="9">
      <x:c r="A9" s="36" t="str">
        <x:v>Sign convention</x:v>
      </x:c>
      <x:c r="B9" s="37" t="str">
        <x:v>q = w - b. Positive q means net downward load. With this left-to-right integration convention, a negative midship bending moment corresponds to sagging.</x:v>
      </x:c>
      <x:c r="C9" s="53"/>
      <x:c r="D9" s="53"/>
      <x:c r="E9" s="53"/>
      <x:c r="F9" s="53"/>
      <x:c r="G9" s="53"/>
      <x:c r="H9" s="27"/>
    </x:row>
    <x:row r="10">
      <x:c r="A10" s="38" t="str">
        <x:v>Units</x:v>
      </x:c>
      <x:c r="B10" s="39" t="str">
        <x:v>Lengths in m, density in kg/m^3, distributed load in kN/m, force in kN, moment in kN*m.</x:v>
      </x:c>
      <x:c r="C10" s="53"/>
      <x:c r="D10" s="53"/>
      <x:c r="E10" s="53"/>
      <x:c r="F10" s="53"/>
      <x:c r="G10" s="53"/>
      <x:c r="H10" s="27"/>
    </x:row>
    <x:row r="11">
      <x:c r="A11" s="26"/>
      <x:c r="B11" s="53"/>
      <x:c r="C11" s="53"/>
      <x:c r="D11" s="53"/>
      <x:c r="E11" s="53"/>
      <x:c r="F11" s="53"/>
      <x:c r="G11" s="53"/>
      <x:c r="H11" s="27"/>
    </x:row>
    <x:row r="12">
      <x:c r="A12" s="55" t="str">
        <x:v>Core formulas used</x:v>
      </x:c>
      <x:c r="B12" s="53"/>
      <x:c r="C12" s="53"/>
      <x:c r="D12" s="53"/>
      <x:c r="E12" s="53"/>
      <x:c r="F12" s="53"/>
      <x:c r="G12" s="53"/>
      <x:c r="H12" s="27"/>
    </x:row>
    <x:row r="13">
      <x:c r="A13" s="54" t="str">
        <x:v>Total weight = area under w(x). If buoyancy is uniform, q_B = W_total / L. For a rectangular barge at uniform draught: q_B = rho*g*B*T / 1000, so B = q_B*1000/(rho*g*T). Net load is q(x)=w(x)-b(x). Shear is the cumulative integral of q. Bending moment is the cumulative integral of V.</x:v>
      </x:c>
      <x:c r="B13" s="53"/>
      <x:c r="C13" s="53"/>
      <x:c r="D13" s="53"/>
      <x:c r="E13" s="53"/>
      <x:c r="F13" s="53"/>
      <x:c r="G13" s="53"/>
      <x:c r="H13" s="27"/>
    </x:row>
    <x:row r="14">
      <x:c r="A14" s="26"/>
      <x:c r="B14" s="53"/>
      <x:c r="C14" s="53"/>
      <x:c r="D14" s="53"/>
      <x:c r="E14" s="53"/>
      <x:c r="F14" s="53"/>
      <x:c r="G14" s="53"/>
      <x:c r="H14" s="27"/>
    </x:row>
    <x:row r="15">
      <x:c r="A15" s="26"/>
      <x:c r="B15" s="53"/>
      <x:c r="C15" s="53"/>
      <x:c r="D15" s="53"/>
      <x:c r="E15" s="53"/>
      <x:c r="F15" s="53"/>
      <x:c r="G15" s="53"/>
      <x:c r="H15" s="27"/>
    </x:row>
    <x:row r="16">
      <x:c r="A16" s="26"/>
      <x:c r="B16" s="53"/>
      <x:c r="C16" s="53"/>
      <x:c r="D16" s="53"/>
      <x:c r="E16" s="53"/>
      <x:c r="F16" s="53"/>
      <x:c r="G16" s="53"/>
      <x:c r="H16" s="27"/>
    </x:row>
    <x:row r="17">
      <x:c r="A17" s="26"/>
      <x:c r="B17" s="53"/>
      <x:c r="C17" s="53"/>
      <x:c r="D17" s="53"/>
      <x:c r="E17" s="53"/>
      <x:c r="F17" s="53"/>
      <x:c r="G17" s="53"/>
      <x:c r="H17" s="27"/>
    </x:row>
    <x:row r="18">
      <x:c r="A18" s="26"/>
      <x:c r="B18" s="53"/>
      <x:c r="C18" s="53"/>
      <x:c r="D18" s="53"/>
      <x:c r="E18" s="53"/>
      <x:c r="F18" s="53"/>
      <x:c r="G18" s="53"/>
      <x:c r="H18" s="27"/>
    </x:row>
    <x:row r="19">
      <x:c r="A19" s="26"/>
      <x:c r="B19" s="53"/>
      <x:c r="C19" s="53"/>
      <x:c r="D19" s="53"/>
      <x:c r="E19" s="53"/>
      <x:c r="F19" s="53"/>
      <x:c r="G19" s="53"/>
      <x:c r="H19" s="27"/>
    </x:row>
    <x:row r="20">
      <x:c r="A20" s="28"/>
      <x:c r="B20" s="56"/>
      <x:c r="C20" s="56"/>
      <x:c r="D20" s="56"/>
      <x:c r="E20" s="56"/>
      <x:c r="F20" s="56"/>
      <x:c r="G20" s="56"/>
      <x:c r="H20" s="29"/>
    </x:row>
  </x:sheetData>
  <x:mergeCells>
    <x:mergeCell ref="A1:H1"/>
    <x:mergeCell ref="A3:H3"/>
    <x:mergeCell ref="A12:H12"/>
    <x:mergeCell ref="A13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5" hidden="0" customWidth="1"/>
    <x:col min="9" max="9" width="15" hidden="0" customWidth="1"/>
    <x:col min="10" max="10" width="15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20" customHeight="1">
      <x:c r="A1" s="111" t="str">
        <x:v>Uniform Buoyancy Solver</x:v>
      </x:c>
      <x:c r="B1" s="153"/>
      <x:c r="C1" s="153"/>
      <x:c r="D1" s="153"/>
      <x:c r="E1" s="153"/>
      <x:c r="F1" s="153"/>
      <x:c r="G1" s="153"/>
      <x:c r="H1" s="153"/>
      <x:c r="I1" s="153"/>
      <x:c r="J1" s="153"/>
      <x:c r="K1" s="112"/>
      <x:c r="L1" s="112"/>
      <x:c r="M1" s="112"/>
      <x:c r="N1" s="112"/>
      <x:c r="O1" s="112"/>
      <x:c r="P1" s="112"/>
      <x:c r="Q1" s="112"/>
      <x:c r="R1" s="112"/>
      <x:c r="S1" s="112"/>
      <x:c r="T1" s="112"/>
      <x:c r="U1" s="112"/>
      <x:c r="V1" s="112"/>
      <x:c r="W1" s="112"/>
      <x:c r="X1" s="112"/>
      <x:c r="Y1" s="112"/>
      <x:c r="Z1" s="112"/>
    </x:row>
    <x:row r="2">
      <x:c r="A2" s="153"/>
      <x:c r="B2" s="153"/>
      <x:c r="C2" s="153"/>
      <x:c r="D2" s="153"/>
      <x:c r="E2" s="153"/>
      <x:c r="F2" s="153"/>
      <x:c r="G2" s="153"/>
      <x:c r="H2" s="153"/>
      <x:c r="I2" s="153"/>
      <x:c r="J2" s="153"/>
      <x:c r="K2" s="112"/>
      <x:c r="L2" s="112"/>
      <x:c r="M2" s="112"/>
      <x:c r="N2" s="112"/>
      <x:c r="O2" s="112"/>
      <x:c r="P2" s="112"/>
      <x:c r="Q2" s="112"/>
      <x:c r="R2" s="112"/>
      <x:c r="S2" s="112"/>
      <x:c r="T2" s="112"/>
      <x:c r="U2" s="112"/>
      <x:c r="V2" s="112"/>
      <x:c r="W2" s="112"/>
      <x:c r="X2" s="112"/>
      <x:c r="Y2" s="112"/>
      <x:c r="Z2" s="112"/>
    </x:row>
    <x:row r="3">
      <x:c r="A3" s="191" t="str">
        <x:v>Inputs</x:v>
      </x:c>
      <x:c r="B3" s="153"/>
      <x:c r="C3" s="153"/>
      <x:c r="D3" s="191" t="str">
        <x:v>Key results</x:v>
      </x:c>
      <x:c r="E3" s="153"/>
      <x:c r="F3" s="153"/>
      <x:c r="G3" s="153"/>
      <x:c r="H3" s="153"/>
      <x:c r="I3" s="153"/>
      <x:c r="J3" s="153"/>
      <x:c r="K3" s="112"/>
      <x:c r="L3" s="192" t="str">
        <x:v>Notes</x:v>
      </x:c>
      <x:c r="M3" s="112"/>
      <x:c r="N3" s="112"/>
      <x:c r="O3" s="112"/>
      <x:c r="P3" s="112"/>
      <x:c r="Q3" s="112"/>
      <x:c r="R3" s="112"/>
      <x:c r="S3" s="112"/>
      <x:c r="T3" s="112"/>
      <x:c r="U3" s="112"/>
      <x:c r="V3" s="112"/>
      <x:c r="W3" s="112"/>
      <x:c r="X3" s="112"/>
      <x:c r="Y3" s="112"/>
      <x:c r="Z3" s="112"/>
    </x:row>
    <x:row r="4">
      <x:c r="A4" s="193" t="str">
        <x:v>Total length L [m]</x:v>
      </x:c>
      <x:c r="B4" s="194" t="n">
        <x:v>40</x:v>
      </x:c>
      <x:c r="C4" s="153"/>
      <x:c r="D4" s="193" t="str">
        <x:v>Total downward weight W [kN]</x:v>
      </x:c>
      <x:c r="E4" s="195" t="n">
        <x:f>SUMPRODUCT(D11:D30,E11:E30)</x:f>
        <x:v>0</x:v>
      </x:c>
      <x:c r="F4" s="153"/>
      <x:c r="G4" s="153"/>
      <x:c r="H4" s="153"/>
      <x:c r="I4" s="153"/>
      <x:c r="J4" s="153"/>
      <x:c r="K4" s="112"/>
      <x:c r="L4" s="189" t="str">
        <x:v>Edit only yellow cells.</x:v>
      </x:c>
      <x:c r="M4" s="189"/>
      <x:c r="N4" s="189"/>
      <x:c r="O4" s="112"/>
      <x:c r="P4" s="112"/>
      <x:c r="Q4" s="112"/>
      <x:c r="R4" s="112"/>
      <x:c r="S4" s="112"/>
      <x:c r="T4" s="112"/>
      <x:c r="U4" s="112"/>
      <x:c r="V4" s="112"/>
      <x:c r="W4" s="112"/>
      <x:c r="X4" s="112"/>
      <x:c r="Y4" s="112"/>
      <x:c r="Z4" s="112"/>
    </x:row>
    <x:row r="5">
      <x:c r="A5" s="196" t="str">
        <x:v>Draught T [m]</x:v>
      </x:c>
      <x:c r="B5" s="197" t="n">
        <x:v>3</x:v>
      </x:c>
      <x:c r="C5" s="153"/>
      <x:c r="D5" s="196" t="str">
        <x:v>Uniform buoyancy q_B [kN/m]</x:v>
      </x:c>
      <x:c r="E5" s="198" t="n">
        <x:f>E4/$B$4</x:f>
        <x:v>0</x:v>
      </x:c>
      <x:c r="F5" s="153"/>
      <x:c r="G5" s="153"/>
      <x:c r="H5" s="153"/>
      <x:c r="I5" s="153"/>
      <x:c r="J5" s="153"/>
      <x:c r="K5" s="112"/>
      <x:c r="L5" s="189" t="str">
        <x:v>This sheet assumes a rectangular barge at uniform draught, so buoyancy per metre is constant.</x:v>
      </x:c>
      <x:c r="M5" s="189"/>
      <x:c r="N5" s="189"/>
      <x:c r="O5" s="112"/>
      <x:c r="P5" s="112"/>
      <x:c r="Q5" s="112"/>
      <x:c r="R5" s="112"/>
      <x:c r="S5" s="112"/>
      <x:c r="T5" s="112"/>
      <x:c r="U5" s="112"/>
      <x:c r="V5" s="112"/>
      <x:c r="W5" s="112"/>
      <x:c r="X5" s="112"/>
      <x:c r="Y5" s="112"/>
      <x:c r="Z5" s="112"/>
    </x:row>
    <x:row r="6">
      <x:c r="A6" s="196" t="str">
        <x:v>Density rho [kg/m^3]</x:v>
      </x:c>
      <x:c r="B6" s="197" t="n">
        <x:v>1025</x:v>
      </x:c>
      <x:c r="C6" s="153"/>
      <x:c r="D6" s="196" t="str">
        <x:v>Breadth B [m]</x:v>
      </x:c>
      <x:c r="E6" s="198" t="n">
        <x:f>E5*1000/($B$6*$B$7*$B$5)</x:f>
        <x:v>0</x:v>
      </x:c>
      <x:c r="F6" s="153"/>
      <x:c r="G6" s="153"/>
      <x:c r="H6" s="153"/>
      <x:c r="I6" s="153"/>
      <x:c r="J6" s="153"/>
      <x:c r="K6" s="112"/>
      <x:c r="L6" s="189" t="str">
        <x:v>If you know q_B and T, breadth is B = q_B*1000/(rho*g*T).</x:v>
      </x:c>
      <x:c r="M6" s="189"/>
      <x:c r="N6" s="189"/>
      <x:c r="O6" s="112"/>
      <x:c r="P6" s="112"/>
      <x:c r="Q6" s="112"/>
      <x:c r="R6" s="112"/>
      <x:c r="S6" s="112"/>
      <x:c r="T6" s="112"/>
      <x:c r="U6" s="112"/>
      <x:c r="V6" s="112"/>
      <x:c r="W6" s="112"/>
      <x:c r="X6" s="112"/>
      <x:c r="Y6" s="112"/>
      <x:c r="Z6" s="112"/>
    </x:row>
    <x:row r="7">
      <x:c r="A7" s="199" t="str">
        <x:v>Gravity g [m/s^2]</x:v>
      </x:c>
      <x:c r="B7" s="200" t="n">
        <x:v>9.81</x:v>
      </x:c>
      <x:c r="C7" s="153"/>
      <x:c r="D7" s="196" t="str">
        <x:v>Midship bending moment [kN*m]</x:v>
      </x:c>
      <x:c r="E7" s="198" t="n">
        <x:f>INDEX(J11:J30,MATCH($B$4/2,C11:C30,1))</x:f>
        <x:v>0</x:v>
      </x:c>
      <x:c r="F7" s="153"/>
      <x:c r="G7" s="153"/>
      <x:c r="H7" s="153"/>
      <x:c r="I7" s="153"/>
      <x:c r="J7" s="153"/>
      <x:c r="K7" s="112"/>
      <x:c r="L7" s="189" t="str">
        <x:v>Midship moment is picked from the segment ending at or just before L/2.</x:v>
      </x:c>
      <x:c r="M7" s="189"/>
      <x:c r="N7" s="189"/>
      <x:c r="O7" s="112"/>
      <x:c r="P7" s="112"/>
      <x:c r="Q7" s="112"/>
      <x:c r="R7" s="112"/>
      <x:c r="S7" s="112"/>
      <x:c r="T7" s="112"/>
      <x:c r="U7" s="112"/>
      <x:c r="V7" s="112"/>
      <x:c r="W7" s="112"/>
      <x:c r="X7" s="112"/>
      <x:c r="Y7" s="112"/>
      <x:c r="Z7" s="112"/>
    </x:row>
    <x:row r="8">
      <x:c r="A8" s="153"/>
      <x:c r="B8" s="153"/>
      <x:c r="C8" s="153"/>
      <x:c r="D8" s="199" t="str">
        <x:v>Condition</x:v>
      </x:c>
      <x:c r="E8" s="201" t="str">
        <x:f>IF(E7&lt;0,"Sagging",IF(E7&gt;0,"Hogging","Neutral"))</x:f>
        <x:v>Neutral</x:v>
      </x:c>
      <x:c r="F8" s="153"/>
      <x:c r="G8" s="153"/>
      <x:c r="H8" s="153"/>
      <x:c r="I8" s="153"/>
      <x:c r="J8" s="153"/>
      <x:c r="K8" s="112"/>
      <x:c r="L8" s="189"/>
      <x:c r="M8" s="189"/>
      <x:c r="N8" s="189"/>
      <x:c r="O8" s="112"/>
      <x:c r="P8" s="112"/>
      <x:c r="Q8" s="112"/>
      <x:c r="R8" s="112"/>
      <x:c r="S8" s="112"/>
      <x:c r="T8" s="112"/>
      <x:c r="U8" s="112"/>
      <x:c r="V8" s="112"/>
      <x:c r="W8" s="112"/>
      <x:c r="X8" s="112"/>
      <x:c r="Y8" s="112"/>
      <x:c r="Z8" s="112"/>
    </x:row>
    <x:row r="9">
      <x:c r="A9" s="153"/>
      <x:c r="B9" s="153"/>
      <x:c r="C9" s="153"/>
      <x:c r="D9" s="202"/>
      <x:c r="E9" s="153"/>
      <x:c r="F9" s="153"/>
      <x:c r="G9" s="153"/>
      <x:c r="H9" s="153"/>
      <x:c r="I9" s="153"/>
      <x:c r="J9" s="153"/>
      <x:c r="K9" s="112"/>
      <x:c r="L9" s="112"/>
      <x:c r="M9" s="112"/>
      <x:c r="N9" s="112"/>
      <x:c r="O9" s="112"/>
      <x:c r="P9" s="112"/>
      <x:c r="Q9" s="112"/>
      <x:c r="R9" s="112"/>
      <x:c r="S9" s="112"/>
      <x:c r="T9" s="112"/>
      <x:c r="U9" s="112"/>
      <x:c r="V9" s="112"/>
      <x:c r="W9" s="112"/>
      <x:c r="X9" s="112"/>
      <x:c r="Y9" s="112"/>
      <x:c r="Z9" s="112"/>
    </x:row>
    <x:row r="10" ht="36" customHeight="1">
      <x:c r="A10" s="24" t="str">
        <x:v>Seg.</x:v>
      </x:c>
      <x:c r="B10" s="87" t="str">
        <x:v>x start [m]</x:v>
      </x:c>
      <x:c r="C10" s="87" t="str">
        <x:v>x end [m]</x:v>
      </x:c>
      <x:c r="D10" s="87" t="str">
        <x:v>dx [m]</x:v>
      </x:c>
      <x:c r="E10" s="87" t="str">
        <x:v>Weight w [kN/m]</x:v>
      </x:c>
      <x:c r="F10" s="87" t="str">
        <x:v>Buoyancy b [kN/m]</x:v>
      </x:c>
      <x:c r="G10" s="87" t="str">
        <x:v>Net q=w-b [kN/m]</x:v>
      </x:c>
      <x:c r="H10" s="87" t="str">
        <x:v>Segment force q*dx [kN]</x:v>
      </x:c>
      <x:c r="I10" s="87" t="str">
        <x:v>Cum. shear V [kN]</x:v>
      </x:c>
      <x:c r="J10" s="25" t="str">
        <x:v>Cum. moment M [kN*m]</x:v>
      </x:c>
      <x:c r="K10" s="112"/>
      <x:c r="L10" s="112"/>
      <x:c r="M10" s="112"/>
      <x:c r="N10" s="112"/>
      <x:c r="O10" s="112"/>
      <x:c r="P10" s="112"/>
      <x:c r="Q10" s="112"/>
      <x:c r="R10" s="112"/>
      <x:c r="S10" s="112"/>
      <x:c r="T10" s="112"/>
      <x:c r="U10" s="112"/>
      <x:c r="V10" s="112"/>
      <x:c r="W10" s="112"/>
      <x:c r="X10" s="112"/>
      <x:c r="Y10" s="112"/>
      <x:c r="Z10" s="112"/>
    </x:row>
    <x:row r="11">
      <x:c r="A11" s="203" t="n">
        <x:v>1</x:v>
      </x:c>
      <x:c r="B11" s="153" t="n">
        <x:f>0</x:f>
        <x:v>0</x:v>
      </x:c>
      <x:c r="C11" s="153" t="n">
        <x:f>$B$4/20</x:f>
        <x:v>2</x:v>
      </x:c>
      <x:c r="D11" s="153" t="n">
        <x:f>C11-B11</x:f>
        <x:v>2</x:v>
      </x:c>
      <x:c r="E11" s="204" t="n">
        <x:v>0</x:v>
      </x:c>
      <x:c r="F11" s="153" t="n">
        <x:f>$E$5</x:f>
        <x:v>0</x:v>
      </x:c>
      <x:c r="G11" s="153" t="n">
        <x:f>E11-F11</x:f>
        <x:v>0</x:v>
      </x:c>
      <x:c r="H11" s="153" t="n">
        <x:f>G11*D11</x:f>
        <x:v>0</x:v>
      </x:c>
      <x:c r="I11" s="153" t="n">
        <x:f>H11</x:f>
        <x:v>0</x:v>
      </x:c>
      <x:c r="J11" s="205" t="n">
        <x:f>0.5*G11*D11^2</x:f>
        <x:v>0</x:v>
      </x:c>
      <x:c r="K11" s="112"/>
      <x:c r="L11" s="112"/>
      <x:c r="M11" s="112"/>
      <x:c r="N11" s="112"/>
      <x:c r="O11" s="112"/>
      <x:c r="P11" s="112"/>
      <x:c r="Q11" s="112"/>
      <x:c r="R11" s="112"/>
      <x:c r="S11" s="112"/>
      <x:c r="T11" s="112"/>
      <x:c r="U11" s="112"/>
      <x:c r="V11" s="112"/>
      <x:c r="W11" s="112"/>
      <x:c r="X11" s="112"/>
      <x:c r="Y11" s="112"/>
      <x:c r="Z11" s="112"/>
    </x:row>
    <x:row r="12">
      <x:c r="A12" s="203" t="n">
        <x:v>2</x:v>
      </x:c>
      <x:c r="B12" s="153" t="n">
        <x:f>C11</x:f>
        <x:v>2</x:v>
      </x:c>
      <x:c r="C12" s="153" t="n">
        <x:f>C11+$B$4/20</x:f>
        <x:v>4</x:v>
      </x:c>
      <x:c r="D12" s="153" t="n">
        <x:f>C12-B12</x:f>
        <x:v>2</x:v>
      </x:c>
      <x:c r="E12" s="204" t="n">
        <x:v>0</x:v>
      </x:c>
      <x:c r="F12" s="153" t="n">
        <x:f>$E$5</x:f>
        <x:v>0</x:v>
      </x:c>
      <x:c r="G12" s="153" t="n">
        <x:f>E12-F12</x:f>
        <x:v>0</x:v>
      </x:c>
      <x:c r="H12" s="153" t="n">
        <x:f>G12*D12</x:f>
        <x:v>0</x:v>
      </x:c>
      <x:c r="I12" s="153" t="n">
        <x:f>I11+H12</x:f>
        <x:v>0</x:v>
      </x:c>
      <x:c r="J12" s="205" t="n">
        <x:f>J11+I11*D12+0.5*G12*D12^2</x:f>
        <x:v>0</x:v>
      </x:c>
      <x:c r="K12" s="112"/>
      <x:c r="L12" s="112"/>
      <x:c r="M12" s="112"/>
      <x:c r="N12" s="112"/>
      <x:c r="O12" s="112"/>
      <x:c r="P12" s="112"/>
      <x:c r="Q12" s="112"/>
      <x:c r="R12" s="112"/>
      <x:c r="S12" s="112"/>
      <x:c r="T12" s="112"/>
      <x:c r="U12" s="112"/>
      <x:c r="V12" s="112"/>
      <x:c r="W12" s="112"/>
      <x:c r="X12" s="112"/>
      <x:c r="Y12" s="112"/>
      <x:c r="Z12" s="112"/>
    </x:row>
    <x:row r="13">
      <x:c r="A13" s="203" t="n">
        <x:v>3</x:v>
      </x:c>
      <x:c r="B13" s="153" t="n">
        <x:f>C12</x:f>
        <x:v>4</x:v>
      </x:c>
      <x:c r="C13" s="153" t="n">
        <x:f>C12+$B$4/20</x:f>
        <x:v>6</x:v>
      </x:c>
      <x:c r="D13" s="153" t="n">
        <x:f>C13-B13</x:f>
        <x:v>2</x:v>
      </x:c>
      <x:c r="E13" s="204" t="n">
        <x:v>0</x:v>
      </x:c>
      <x:c r="F13" s="153" t="n">
        <x:f>$E$5</x:f>
        <x:v>0</x:v>
      </x:c>
      <x:c r="G13" s="153" t="n">
        <x:f>E13-F13</x:f>
        <x:v>0</x:v>
      </x:c>
      <x:c r="H13" s="153" t="n">
        <x:f>G13*D13</x:f>
        <x:v>0</x:v>
      </x:c>
      <x:c r="I13" s="153" t="n">
        <x:f>I12+H13</x:f>
        <x:v>0</x:v>
      </x:c>
      <x:c r="J13" s="205" t="n">
        <x:f>J12+I12*D13+0.5*G13*D13^2</x:f>
        <x:v>0</x:v>
      </x:c>
      <x:c r="K13" s="112"/>
      <x:c r="L13" s="112"/>
      <x:c r="M13" s="112"/>
      <x:c r="N13" s="112"/>
      <x:c r="O13" s="112"/>
      <x:c r="P13" s="112"/>
      <x:c r="Q13" s="112"/>
      <x:c r="R13" s="112"/>
      <x:c r="S13" s="112"/>
      <x:c r="T13" s="112"/>
      <x:c r="U13" s="112"/>
      <x:c r="V13" s="112"/>
      <x:c r="W13" s="112"/>
      <x:c r="X13" s="112"/>
      <x:c r="Y13" s="112"/>
      <x:c r="Z13" s="112"/>
    </x:row>
    <x:row r="14">
      <x:c r="A14" s="203" t="n">
        <x:v>4</x:v>
      </x:c>
      <x:c r="B14" s="153" t="n">
        <x:f>C13</x:f>
        <x:v>6</x:v>
      </x:c>
      <x:c r="C14" s="153" t="n">
        <x:f>C13+$B$4/20</x:f>
        <x:v>8</x:v>
      </x:c>
      <x:c r="D14" s="153" t="n">
        <x:f>C14-B14</x:f>
        <x:v>2</x:v>
      </x:c>
      <x:c r="E14" s="204" t="n">
        <x:v>0</x:v>
      </x:c>
      <x:c r="F14" s="153" t="n">
        <x:f>$E$5</x:f>
        <x:v>0</x:v>
      </x:c>
      <x:c r="G14" s="153" t="n">
        <x:f>E14-F14</x:f>
        <x:v>0</x:v>
      </x:c>
      <x:c r="H14" s="153" t="n">
        <x:f>G14*D14</x:f>
        <x:v>0</x:v>
      </x:c>
      <x:c r="I14" s="153" t="n">
        <x:f>I13+H14</x:f>
        <x:v>0</x:v>
      </x:c>
      <x:c r="J14" s="205" t="n">
        <x:f>J13+I13*D14+0.5*G14*D14^2</x:f>
        <x:v>0</x:v>
      </x:c>
      <x:c r="K14" s="112"/>
      <x:c r="L14" s="112"/>
      <x:c r="M14" s="112"/>
      <x:c r="N14" s="112"/>
      <x:c r="O14" s="112"/>
      <x:c r="P14" s="112"/>
      <x:c r="Q14" s="112"/>
      <x:c r="R14" s="112"/>
      <x:c r="S14" s="112"/>
      <x:c r="T14" s="112"/>
      <x:c r="U14" s="112"/>
      <x:c r="V14" s="112"/>
      <x:c r="W14" s="112"/>
      <x:c r="X14" s="112"/>
      <x:c r="Y14" s="112"/>
      <x:c r="Z14" s="112"/>
    </x:row>
    <x:row r="15">
      <x:c r="A15" s="203" t="n">
        <x:v>5</x:v>
      </x:c>
      <x:c r="B15" s="153" t="n">
        <x:f>C14</x:f>
        <x:v>8</x:v>
      </x:c>
      <x:c r="C15" s="153" t="n">
        <x:f>C14+$B$4/20</x:f>
        <x:v>10</x:v>
      </x:c>
      <x:c r="D15" s="153" t="n">
        <x:f>C15-B15</x:f>
        <x:v>2</x:v>
      </x:c>
      <x:c r="E15" s="204" t="n">
        <x:v>0</x:v>
      </x:c>
      <x:c r="F15" s="153" t="n">
        <x:f>$E$5</x:f>
        <x:v>0</x:v>
      </x:c>
      <x:c r="G15" s="153" t="n">
        <x:f>E15-F15</x:f>
        <x:v>0</x:v>
      </x:c>
      <x:c r="H15" s="153" t="n">
        <x:f>G15*D15</x:f>
        <x:v>0</x:v>
      </x:c>
      <x:c r="I15" s="153" t="n">
        <x:f>I14+H15</x:f>
        <x:v>0</x:v>
      </x:c>
      <x:c r="J15" s="205" t="n">
        <x:f>J14+I14*D15+0.5*G15*D15^2</x:f>
        <x:v>0</x:v>
      </x:c>
      <x:c r="K15" s="112"/>
      <x:c r="L15" s="112"/>
      <x:c r="M15" s="112"/>
      <x:c r="N15" s="112"/>
      <x:c r="O15" s="112"/>
      <x:c r="P15" s="112"/>
      <x:c r="Q15" s="112"/>
      <x:c r="R15" s="112"/>
      <x:c r="S15" s="112"/>
      <x:c r="T15" s="112"/>
      <x:c r="U15" s="112"/>
      <x:c r="V15" s="112"/>
      <x:c r="W15" s="112"/>
      <x:c r="X15" s="112"/>
      <x:c r="Y15" s="112"/>
      <x:c r="Z15" s="112"/>
    </x:row>
    <x:row r="16">
      <x:c r="A16" s="203" t="n">
        <x:v>6</x:v>
      </x:c>
      <x:c r="B16" s="153" t="n">
        <x:f>C15</x:f>
        <x:v>10</x:v>
      </x:c>
      <x:c r="C16" s="153" t="n">
        <x:f>C15+$B$4/20</x:f>
        <x:v>12</x:v>
      </x:c>
      <x:c r="D16" s="153" t="n">
        <x:f>C16-B16</x:f>
        <x:v>2</x:v>
      </x:c>
      <x:c r="E16" s="204" t="n">
        <x:v>0</x:v>
      </x:c>
      <x:c r="F16" s="153" t="n">
        <x:f>$E$5</x:f>
        <x:v>0</x:v>
      </x:c>
      <x:c r="G16" s="153" t="n">
        <x:f>E16-F16</x:f>
        <x:v>0</x:v>
      </x:c>
      <x:c r="H16" s="153" t="n">
        <x:f>G16*D16</x:f>
        <x:v>0</x:v>
      </x:c>
      <x:c r="I16" s="153" t="n">
        <x:f>I15+H16</x:f>
        <x:v>0</x:v>
      </x:c>
      <x:c r="J16" s="205" t="n">
        <x:f>J15+I15*D16+0.5*G16*D16^2</x:f>
        <x:v>0</x:v>
      </x:c>
      <x:c r="K16" s="112"/>
      <x:c r="L16" s="112"/>
      <x:c r="M16" s="112"/>
      <x:c r="N16" s="112"/>
      <x:c r="O16" s="112"/>
      <x:c r="P16" s="112"/>
      <x:c r="Q16" s="112"/>
      <x:c r="R16" s="112"/>
      <x:c r="S16" s="112"/>
      <x:c r="T16" s="112"/>
      <x:c r="U16" s="112"/>
      <x:c r="V16" s="112"/>
      <x:c r="W16" s="112"/>
      <x:c r="X16" s="112"/>
      <x:c r="Y16" s="112"/>
      <x:c r="Z16" s="112"/>
    </x:row>
    <x:row r="17">
      <x:c r="A17" s="203" t="n">
        <x:v>7</x:v>
      </x:c>
      <x:c r="B17" s="153" t="n">
        <x:f>C16</x:f>
        <x:v>12</x:v>
      </x:c>
      <x:c r="C17" s="153" t="n">
        <x:f>C16+$B$4/20</x:f>
        <x:v>14</x:v>
      </x:c>
      <x:c r="D17" s="153" t="n">
        <x:f>C17-B17</x:f>
        <x:v>2</x:v>
      </x:c>
      <x:c r="E17" s="204" t="n">
        <x:v>0</x:v>
      </x:c>
      <x:c r="F17" s="153" t="n">
        <x:f>$E$5</x:f>
        <x:v>0</x:v>
      </x:c>
      <x:c r="G17" s="153" t="n">
        <x:f>E17-F17</x:f>
        <x:v>0</x:v>
      </x:c>
      <x:c r="H17" s="153" t="n">
        <x:f>G17*D17</x:f>
        <x:v>0</x:v>
      </x:c>
      <x:c r="I17" s="153" t="n">
        <x:f>I16+H17</x:f>
        <x:v>0</x:v>
      </x:c>
      <x:c r="J17" s="205" t="n">
        <x:f>J16+I16*D17+0.5*G17*D17^2</x:f>
        <x:v>0</x:v>
      </x:c>
      <x:c r="K17" s="112"/>
      <x:c r="L17" s="112"/>
      <x:c r="M17" s="112"/>
      <x:c r="N17" s="112"/>
      <x:c r="O17" s="112"/>
      <x:c r="P17" s="112"/>
      <x:c r="Q17" s="112"/>
      <x:c r="R17" s="112"/>
      <x:c r="S17" s="112"/>
      <x:c r="T17" s="112"/>
      <x:c r="U17" s="112"/>
      <x:c r="V17" s="112"/>
      <x:c r="W17" s="112"/>
      <x:c r="X17" s="112"/>
      <x:c r="Y17" s="112"/>
      <x:c r="Z17" s="112"/>
    </x:row>
    <x:row r="18">
      <x:c r="A18" s="203" t="n">
        <x:v>8</x:v>
      </x:c>
      <x:c r="B18" s="153" t="n">
        <x:f>C17</x:f>
        <x:v>14</x:v>
      </x:c>
      <x:c r="C18" s="153" t="n">
        <x:f>C17+$B$4/20</x:f>
        <x:v>16</x:v>
      </x:c>
      <x:c r="D18" s="153" t="n">
        <x:f>C18-B18</x:f>
        <x:v>2</x:v>
      </x:c>
      <x:c r="E18" s="204" t="n">
        <x:v>0</x:v>
      </x:c>
      <x:c r="F18" s="153" t="n">
        <x:f>$E$5</x:f>
        <x:v>0</x:v>
      </x:c>
      <x:c r="G18" s="153" t="n">
        <x:f>E18-F18</x:f>
        <x:v>0</x:v>
      </x:c>
      <x:c r="H18" s="153" t="n">
        <x:f>G18*D18</x:f>
        <x:v>0</x:v>
      </x:c>
      <x:c r="I18" s="153" t="n">
        <x:f>I17+H18</x:f>
        <x:v>0</x:v>
      </x:c>
      <x:c r="J18" s="205" t="n">
        <x:f>J17+I17*D18+0.5*G18*D18^2</x:f>
        <x:v>0</x:v>
      </x:c>
      <x:c r="K18" s="112"/>
      <x:c r="L18" s="112"/>
      <x:c r="M18" s="112"/>
      <x:c r="N18" s="112"/>
      <x:c r="O18" s="112"/>
      <x:c r="P18" s="112"/>
      <x:c r="Q18" s="112"/>
      <x:c r="R18" s="112"/>
      <x:c r="S18" s="112"/>
      <x:c r="T18" s="112"/>
      <x:c r="U18" s="112"/>
      <x:c r="V18" s="112"/>
      <x:c r="W18" s="112"/>
      <x:c r="X18" s="112"/>
      <x:c r="Y18" s="112"/>
      <x:c r="Z18" s="112"/>
    </x:row>
    <x:row r="19">
      <x:c r="A19" s="203" t="n">
        <x:v>9</x:v>
      </x:c>
      <x:c r="B19" s="153" t="n">
        <x:f>C18</x:f>
        <x:v>16</x:v>
      </x:c>
      <x:c r="C19" s="153" t="n">
        <x:f>C18+$B$4/20</x:f>
        <x:v>18</x:v>
      </x:c>
      <x:c r="D19" s="153" t="n">
        <x:f>C19-B19</x:f>
        <x:v>2</x:v>
      </x:c>
      <x:c r="E19" s="204" t="n">
        <x:v>0</x:v>
      </x:c>
      <x:c r="F19" s="153" t="n">
        <x:f>$E$5</x:f>
        <x:v>0</x:v>
      </x:c>
      <x:c r="G19" s="153" t="n">
        <x:f>E19-F19</x:f>
        <x:v>0</x:v>
      </x:c>
      <x:c r="H19" s="153" t="n">
        <x:f>G19*D19</x:f>
        <x:v>0</x:v>
      </x:c>
      <x:c r="I19" s="153" t="n">
        <x:f>I18+H19</x:f>
        <x:v>0</x:v>
      </x:c>
      <x:c r="J19" s="205" t="n">
        <x:f>J18+I18*D19+0.5*G19*D19^2</x:f>
        <x:v>0</x:v>
      </x:c>
      <x:c r="K19" s="112"/>
      <x:c r="L19" s="112"/>
      <x:c r="M19" s="112"/>
      <x:c r="N19" s="112"/>
      <x:c r="O19" s="112"/>
      <x:c r="P19" s="112"/>
      <x:c r="Q19" s="112"/>
      <x:c r="R19" s="112"/>
      <x:c r="S19" s="112"/>
      <x:c r="T19" s="112"/>
      <x:c r="U19" s="112"/>
      <x:c r="V19" s="112"/>
      <x:c r="W19" s="112"/>
      <x:c r="X19" s="112"/>
      <x:c r="Y19" s="112"/>
      <x:c r="Z19" s="112"/>
    </x:row>
    <x:row r="20">
      <x:c r="A20" s="203" t="n">
        <x:v>10</x:v>
      </x:c>
      <x:c r="B20" s="153" t="n">
        <x:f>C19</x:f>
        <x:v>18</x:v>
      </x:c>
      <x:c r="C20" s="153" t="n">
        <x:f>C19+$B$4/20</x:f>
        <x:v>20</x:v>
      </x:c>
      <x:c r="D20" s="153" t="n">
        <x:f>C20-B20</x:f>
        <x:v>2</x:v>
      </x:c>
      <x:c r="E20" s="204" t="n">
        <x:v>0</x:v>
      </x:c>
      <x:c r="F20" s="153" t="n">
        <x:f>$E$5</x:f>
        <x:v>0</x:v>
      </x:c>
      <x:c r="G20" s="153" t="n">
        <x:f>E20-F20</x:f>
        <x:v>0</x:v>
      </x:c>
      <x:c r="H20" s="153" t="n">
        <x:f>G20*D20</x:f>
        <x:v>0</x:v>
      </x:c>
      <x:c r="I20" s="153" t="n">
        <x:f>I19+H20</x:f>
        <x:v>0</x:v>
      </x:c>
      <x:c r="J20" s="205" t="n">
        <x:f>J19+I19*D20+0.5*G20*D20^2</x:f>
        <x:v>0</x:v>
      </x:c>
      <x:c r="K20" s="112"/>
      <x:c r="L20" s="112"/>
      <x:c r="M20" s="112"/>
      <x:c r="N20" s="112"/>
      <x:c r="O20" s="112"/>
      <x:c r="P20" s="112"/>
      <x:c r="Q20" s="112"/>
      <x:c r="R20" s="112"/>
      <x:c r="S20" s="112"/>
      <x:c r="T20" s="112"/>
      <x:c r="U20" s="112"/>
      <x:c r="V20" s="112"/>
      <x:c r="W20" s="112"/>
      <x:c r="X20" s="112"/>
      <x:c r="Y20" s="112"/>
      <x:c r="Z20" s="112"/>
    </x:row>
    <x:row r="21">
      <x:c r="A21" s="203" t="n">
        <x:v>11</x:v>
      </x:c>
      <x:c r="B21" s="153" t="n">
        <x:f>C20</x:f>
        <x:v>20</x:v>
      </x:c>
      <x:c r="C21" s="153" t="n">
        <x:f>C20+$B$4/20</x:f>
        <x:v>22</x:v>
      </x:c>
      <x:c r="D21" s="153" t="n">
        <x:f>C21-B21</x:f>
        <x:v>2</x:v>
      </x:c>
      <x:c r="E21" s="204" t="n">
        <x:v>0</x:v>
      </x:c>
      <x:c r="F21" s="153" t="n">
        <x:f>$E$5</x:f>
        <x:v>0</x:v>
      </x:c>
      <x:c r="G21" s="153" t="n">
        <x:f>E21-F21</x:f>
        <x:v>0</x:v>
      </x:c>
      <x:c r="H21" s="153" t="n">
        <x:f>G21*D21</x:f>
        <x:v>0</x:v>
      </x:c>
      <x:c r="I21" s="153" t="n">
        <x:f>I20+H21</x:f>
        <x:v>0</x:v>
      </x:c>
      <x:c r="J21" s="205" t="n">
        <x:f>J20+I20*D21+0.5*G21*D21^2</x:f>
        <x:v>0</x:v>
      </x:c>
      <x:c r="K21" s="112"/>
      <x:c r="L21" s="112"/>
      <x:c r="M21" s="112"/>
      <x:c r="N21" s="112"/>
      <x:c r="O21" s="112"/>
      <x:c r="P21" s="112"/>
      <x:c r="Q21" s="112"/>
      <x:c r="R21" s="112"/>
      <x:c r="S21" s="112"/>
      <x:c r="T21" s="112"/>
      <x:c r="U21" s="112"/>
      <x:c r="V21" s="112"/>
      <x:c r="W21" s="112"/>
      <x:c r="X21" s="112"/>
      <x:c r="Y21" s="112"/>
      <x:c r="Z21" s="112"/>
    </x:row>
    <x:row r="22">
      <x:c r="A22" s="203" t="n">
        <x:v>12</x:v>
      </x:c>
      <x:c r="B22" s="153" t="n">
        <x:f>C21</x:f>
        <x:v>22</x:v>
      </x:c>
      <x:c r="C22" s="153" t="n">
        <x:f>C21+$B$4/20</x:f>
        <x:v>24</x:v>
      </x:c>
      <x:c r="D22" s="153" t="n">
        <x:f>C22-B22</x:f>
        <x:v>2</x:v>
      </x:c>
      <x:c r="E22" s="204" t="n">
        <x:v>0</x:v>
      </x:c>
      <x:c r="F22" s="153" t="n">
        <x:f>$E$5</x:f>
        <x:v>0</x:v>
      </x:c>
      <x:c r="G22" s="153" t="n">
        <x:f>E22-F22</x:f>
        <x:v>0</x:v>
      </x:c>
      <x:c r="H22" s="153" t="n">
        <x:f>G22*D22</x:f>
        <x:v>0</x:v>
      </x:c>
      <x:c r="I22" s="153" t="n">
        <x:f>I21+H22</x:f>
        <x:v>0</x:v>
      </x:c>
      <x:c r="J22" s="205" t="n">
        <x:f>J21+I21*D22+0.5*G22*D22^2</x:f>
        <x:v>0</x:v>
      </x:c>
      <x:c r="K22" s="112"/>
      <x:c r="L22" s="112"/>
      <x:c r="M22" s="112"/>
      <x:c r="N22" s="112"/>
      <x:c r="O22" s="112"/>
      <x:c r="P22" s="112"/>
      <x:c r="Q22" s="112"/>
      <x:c r="R22" s="112"/>
      <x:c r="S22" s="112"/>
      <x:c r="T22" s="112"/>
      <x:c r="U22" s="112"/>
      <x:c r="V22" s="112"/>
      <x:c r="W22" s="112"/>
      <x:c r="X22" s="112"/>
      <x:c r="Y22" s="112"/>
      <x:c r="Z22" s="112"/>
    </x:row>
    <x:row r="23">
      <x:c r="A23" s="203" t="n">
        <x:v>13</x:v>
      </x:c>
      <x:c r="B23" s="153" t="n">
        <x:f>C22</x:f>
        <x:v>24</x:v>
      </x:c>
      <x:c r="C23" s="153" t="n">
        <x:f>C22+$B$4/20</x:f>
        <x:v>26</x:v>
      </x:c>
      <x:c r="D23" s="153" t="n">
        <x:f>C23-B23</x:f>
        <x:v>2</x:v>
      </x:c>
      <x:c r="E23" s="204" t="n">
        <x:v>0</x:v>
      </x:c>
      <x:c r="F23" s="153" t="n">
        <x:f>$E$5</x:f>
        <x:v>0</x:v>
      </x:c>
      <x:c r="G23" s="153" t="n">
        <x:f>E23-F23</x:f>
        <x:v>0</x:v>
      </x:c>
      <x:c r="H23" s="153" t="n">
        <x:f>G23*D23</x:f>
        <x:v>0</x:v>
      </x:c>
      <x:c r="I23" s="153" t="n">
        <x:f>I22+H23</x:f>
        <x:v>0</x:v>
      </x:c>
      <x:c r="J23" s="205" t="n">
        <x:f>J22+I22*D23+0.5*G23*D23^2</x:f>
        <x:v>0</x:v>
      </x:c>
      <x:c r="K23" s="112"/>
      <x:c r="L23" s="112"/>
      <x:c r="M23" s="112"/>
      <x:c r="N23" s="112"/>
      <x:c r="O23" s="112"/>
      <x:c r="P23" s="112"/>
      <x:c r="Q23" s="112"/>
      <x:c r="R23" s="112"/>
      <x:c r="S23" s="112"/>
      <x:c r="T23" s="112"/>
      <x:c r="U23" s="112"/>
      <x:c r="V23" s="112"/>
      <x:c r="W23" s="112"/>
      <x:c r="X23" s="112"/>
      <x:c r="Y23" s="112"/>
      <x:c r="Z23" s="112"/>
    </x:row>
    <x:row r="24">
      <x:c r="A24" s="203" t="n">
        <x:v>14</x:v>
      </x:c>
      <x:c r="B24" s="153" t="n">
        <x:f>C23</x:f>
        <x:v>26</x:v>
      </x:c>
      <x:c r="C24" s="153" t="n">
        <x:f>C23+$B$4/20</x:f>
        <x:v>28</x:v>
      </x:c>
      <x:c r="D24" s="153" t="n">
        <x:f>C24-B24</x:f>
        <x:v>2</x:v>
      </x:c>
      <x:c r="E24" s="204" t="n">
        <x:v>0</x:v>
      </x:c>
      <x:c r="F24" s="153" t="n">
        <x:f>$E$5</x:f>
        <x:v>0</x:v>
      </x:c>
      <x:c r="G24" s="153" t="n">
        <x:f>E24-F24</x:f>
        <x:v>0</x:v>
      </x:c>
      <x:c r="H24" s="153" t="n">
        <x:f>G24*D24</x:f>
        <x:v>0</x:v>
      </x:c>
      <x:c r="I24" s="153" t="n">
        <x:f>I23+H24</x:f>
        <x:v>0</x:v>
      </x:c>
      <x:c r="J24" s="205" t="n">
        <x:f>J23+I23*D24+0.5*G24*D24^2</x:f>
        <x:v>0</x:v>
      </x:c>
      <x:c r="K24" s="112"/>
      <x:c r="L24" s="112"/>
      <x:c r="M24" s="112"/>
      <x:c r="N24" s="112"/>
      <x:c r="O24" s="112"/>
      <x:c r="P24" s="112"/>
      <x:c r="Q24" s="112"/>
      <x:c r="R24" s="112"/>
      <x:c r="S24" s="112"/>
      <x:c r="T24" s="112"/>
      <x:c r="U24" s="112"/>
      <x:c r="V24" s="112"/>
      <x:c r="W24" s="112"/>
      <x:c r="X24" s="112"/>
      <x:c r="Y24" s="112"/>
      <x:c r="Z24" s="112"/>
    </x:row>
    <x:row r="25">
      <x:c r="A25" s="203" t="n">
        <x:v>15</x:v>
      </x:c>
      <x:c r="B25" s="153" t="n">
        <x:f>C24</x:f>
        <x:v>28</x:v>
      </x:c>
      <x:c r="C25" s="153" t="n">
        <x:f>C24+$B$4/20</x:f>
        <x:v>30</x:v>
      </x:c>
      <x:c r="D25" s="153" t="n">
        <x:f>C25-B25</x:f>
        <x:v>2</x:v>
      </x:c>
      <x:c r="E25" s="204" t="n">
        <x:v>0</x:v>
      </x:c>
      <x:c r="F25" s="153" t="n">
        <x:f>$E$5</x:f>
        <x:v>0</x:v>
      </x:c>
      <x:c r="G25" s="153" t="n">
        <x:f>E25-F25</x:f>
        <x:v>0</x:v>
      </x:c>
      <x:c r="H25" s="153" t="n">
        <x:f>G25*D25</x:f>
        <x:v>0</x:v>
      </x:c>
      <x:c r="I25" s="153" t="n">
        <x:f>I24+H25</x:f>
        <x:v>0</x:v>
      </x:c>
      <x:c r="J25" s="205" t="n">
        <x:f>J24+I24*D25+0.5*G25*D25^2</x:f>
        <x:v>0</x:v>
      </x:c>
      <x:c r="K25" s="112"/>
      <x:c r="L25" s="112"/>
      <x:c r="M25" s="112"/>
      <x:c r="N25" s="112"/>
      <x:c r="O25" s="112"/>
      <x:c r="P25" s="112"/>
      <x:c r="Q25" s="112"/>
      <x:c r="R25" s="112"/>
      <x:c r="S25" s="112"/>
      <x:c r="T25" s="112"/>
      <x:c r="U25" s="112"/>
      <x:c r="V25" s="112"/>
      <x:c r="W25" s="112"/>
      <x:c r="X25" s="112"/>
      <x:c r="Y25" s="112"/>
      <x:c r="Z25" s="112"/>
    </x:row>
    <x:row r="26">
      <x:c r="A26" s="203" t="n">
        <x:v>16</x:v>
      </x:c>
      <x:c r="B26" s="153" t="n">
        <x:f>C25</x:f>
        <x:v>30</x:v>
      </x:c>
      <x:c r="C26" s="153" t="n">
        <x:f>C25+$B$4/20</x:f>
        <x:v>32</x:v>
      </x:c>
      <x:c r="D26" s="153" t="n">
        <x:f>C26-B26</x:f>
        <x:v>2</x:v>
      </x:c>
      <x:c r="E26" s="204" t="n">
        <x:v>0</x:v>
      </x:c>
      <x:c r="F26" s="153" t="n">
        <x:f>$E$5</x:f>
        <x:v>0</x:v>
      </x:c>
      <x:c r="G26" s="153" t="n">
        <x:f>E26-F26</x:f>
        <x:v>0</x:v>
      </x:c>
      <x:c r="H26" s="153" t="n">
        <x:f>G26*D26</x:f>
        <x:v>0</x:v>
      </x:c>
      <x:c r="I26" s="153" t="n">
        <x:f>I25+H26</x:f>
        <x:v>0</x:v>
      </x:c>
      <x:c r="J26" s="205" t="n">
        <x:f>J25+I25*D26+0.5*G26*D26^2</x:f>
        <x:v>0</x:v>
      </x:c>
      <x:c r="K26" s="112"/>
      <x:c r="L26" s="112"/>
      <x:c r="M26" s="112"/>
      <x:c r="N26" s="112"/>
      <x:c r="O26" s="112"/>
      <x:c r="P26" s="112"/>
      <x:c r="Q26" s="112"/>
      <x:c r="R26" s="112"/>
      <x:c r="S26" s="112"/>
      <x:c r="T26" s="112"/>
      <x:c r="U26" s="112"/>
      <x:c r="V26" s="112"/>
      <x:c r="W26" s="112"/>
      <x:c r="X26" s="112"/>
      <x:c r="Y26" s="112"/>
      <x:c r="Z26" s="112"/>
    </x:row>
    <x:row r="27">
      <x:c r="A27" s="203" t="n">
        <x:v>17</x:v>
      </x:c>
      <x:c r="B27" s="153" t="n">
        <x:f>C26</x:f>
        <x:v>32</x:v>
      </x:c>
      <x:c r="C27" s="153" t="n">
        <x:f>C26+$B$4/20</x:f>
        <x:v>34</x:v>
      </x:c>
      <x:c r="D27" s="153" t="n">
        <x:f>C27-B27</x:f>
        <x:v>2</x:v>
      </x:c>
      <x:c r="E27" s="204" t="n">
        <x:v>0</x:v>
      </x:c>
      <x:c r="F27" s="153" t="n">
        <x:f>$E$5</x:f>
        <x:v>0</x:v>
      </x:c>
      <x:c r="G27" s="153" t="n">
        <x:f>E27-F27</x:f>
        <x:v>0</x:v>
      </x:c>
      <x:c r="H27" s="153" t="n">
        <x:f>G27*D27</x:f>
        <x:v>0</x:v>
      </x:c>
      <x:c r="I27" s="153" t="n">
        <x:f>I26+H27</x:f>
        <x:v>0</x:v>
      </x:c>
      <x:c r="J27" s="205" t="n">
        <x:f>J26+I26*D27+0.5*G27*D27^2</x:f>
        <x:v>0</x:v>
      </x:c>
      <x:c r="K27" s="112"/>
      <x:c r="L27" s="112"/>
      <x:c r="M27" s="112"/>
      <x:c r="N27" s="112"/>
      <x:c r="O27" s="112"/>
      <x:c r="P27" s="112"/>
      <x:c r="Q27" s="112"/>
      <x:c r="R27" s="112"/>
      <x:c r="S27" s="112"/>
      <x:c r="T27" s="112"/>
      <x:c r="U27" s="112"/>
      <x:c r="V27" s="112"/>
      <x:c r="W27" s="112"/>
      <x:c r="X27" s="112"/>
      <x:c r="Y27" s="112"/>
      <x:c r="Z27" s="112"/>
    </x:row>
    <x:row r="28">
      <x:c r="A28" s="203" t="n">
        <x:v>18</x:v>
      </x:c>
      <x:c r="B28" s="153" t="n">
        <x:f>C27</x:f>
        <x:v>34</x:v>
      </x:c>
      <x:c r="C28" s="153" t="n">
        <x:f>C27+$B$4/20</x:f>
        <x:v>36</x:v>
      </x:c>
      <x:c r="D28" s="153" t="n">
        <x:f>C28-B28</x:f>
        <x:v>2</x:v>
      </x:c>
      <x:c r="E28" s="204" t="n">
        <x:v>0</x:v>
      </x:c>
      <x:c r="F28" s="153" t="n">
        <x:f>$E$5</x:f>
        <x:v>0</x:v>
      </x:c>
      <x:c r="G28" s="153" t="n">
        <x:f>E28-F28</x:f>
        <x:v>0</x:v>
      </x:c>
      <x:c r="H28" s="153" t="n">
        <x:f>G28*D28</x:f>
        <x:v>0</x:v>
      </x:c>
      <x:c r="I28" s="153" t="n">
        <x:f>I27+H28</x:f>
        <x:v>0</x:v>
      </x:c>
      <x:c r="J28" s="205" t="n">
        <x:f>J27+I27*D28+0.5*G28*D28^2</x:f>
        <x:v>0</x:v>
      </x:c>
      <x:c r="K28" s="112"/>
      <x:c r="L28" s="112"/>
      <x:c r="M28" s="112"/>
      <x:c r="N28" s="112"/>
      <x:c r="O28" s="112"/>
      <x:c r="P28" s="112"/>
      <x:c r="Q28" s="112"/>
      <x:c r="R28" s="112"/>
      <x:c r="S28" s="112"/>
      <x:c r="T28" s="112"/>
      <x:c r="U28" s="112"/>
      <x:c r="V28" s="112"/>
      <x:c r="W28" s="112"/>
      <x:c r="X28" s="112"/>
      <x:c r="Y28" s="112"/>
      <x:c r="Z28" s="112"/>
    </x:row>
    <x:row r="29">
      <x:c r="A29" s="203" t="n">
        <x:v>19</x:v>
      </x:c>
      <x:c r="B29" s="153" t="n">
        <x:f>C28</x:f>
        <x:v>36</x:v>
      </x:c>
      <x:c r="C29" s="153" t="n">
        <x:f>C28+$B$4/20</x:f>
        <x:v>38</x:v>
      </x:c>
      <x:c r="D29" s="153" t="n">
        <x:f>C29-B29</x:f>
        <x:v>2</x:v>
      </x:c>
      <x:c r="E29" s="204" t="n">
        <x:v>0</x:v>
      </x:c>
      <x:c r="F29" s="153" t="n">
        <x:f>$E$5</x:f>
        <x:v>0</x:v>
      </x:c>
      <x:c r="G29" s="153" t="n">
        <x:f>E29-F29</x:f>
        <x:v>0</x:v>
      </x:c>
      <x:c r="H29" s="153" t="n">
        <x:f>G29*D29</x:f>
        <x:v>0</x:v>
      </x:c>
      <x:c r="I29" s="153" t="n">
        <x:f>I28+H29</x:f>
        <x:v>0</x:v>
      </x:c>
      <x:c r="J29" s="205" t="n">
        <x:f>J28+I28*D29+0.5*G29*D29^2</x:f>
        <x:v>0</x:v>
      </x:c>
      <x:c r="K29" s="112"/>
      <x:c r="L29" s="112"/>
      <x:c r="M29" s="112"/>
      <x:c r="N29" s="112"/>
      <x:c r="O29" s="112"/>
      <x:c r="P29" s="112"/>
      <x:c r="Q29" s="112"/>
      <x:c r="R29" s="112"/>
      <x:c r="S29" s="112"/>
      <x:c r="T29" s="112"/>
      <x:c r="U29" s="112"/>
      <x:c r="V29" s="112"/>
      <x:c r="W29" s="112"/>
      <x:c r="X29" s="112"/>
      <x:c r="Y29" s="112"/>
      <x:c r="Z29" s="112"/>
    </x:row>
    <x:row r="30">
      <x:c r="A30" s="206" t="n">
        <x:v>20</x:v>
      </x:c>
      <x:c r="B30" s="207" t="n">
        <x:f>C29</x:f>
        <x:v>38</x:v>
      </x:c>
      <x:c r="C30" s="207" t="n">
        <x:f>C29+$B$4/20</x:f>
        <x:v>40</x:v>
      </x:c>
      <x:c r="D30" s="207" t="n">
        <x:f>C30-B30</x:f>
        <x:v>2</x:v>
      </x:c>
      <x:c r="E30" s="208" t="n">
        <x:v>0</x:v>
      </x:c>
      <x:c r="F30" s="207" t="n">
        <x:f>$E$5</x:f>
        <x:v>0</x:v>
      </x:c>
      <x:c r="G30" s="207" t="n">
        <x:f>E30-F30</x:f>
        <x:v>0</x:v>
      </x:c>
      <x:c r="H30" s="207" t="n">
        <x:f>G30*D30</x:f>
        <x:v>0</x:v>
      </x:c>
      <x:c r="I30" s="207" t="n">
        <x:f>I29+H30</x:f>
        <x:v>0</x:v>
      </x:c>
      <x:c r="J30" s="209" t="n">
        <x:f>J29+I29*D30+0.5*G30*D30^2</x:f>
        <x:v>0</x:v>
      </x:c>
      <x:c r="K30" s="112"/>
      <x:c r="L30" s="112"/>
      <x:c r="M30" s="112"/>
      <x:c r="N30" s="112"/>
      <x:c r="O30" s="112"/>
      <x:c r="P30" s="112"/>
      <x:c r="Q30" s="112"/>
      <x:c r="R30" s="112"/>
      <x:c r="S30" s="112"/>
      <x:c r="T30" s="112"/>
      <x:c r="U30" s="112"/>
      <x:c r="V30" s="112"/>
      <x:c r="W30" s="112"/>
      <x:c r="X30" s="112"/>
      <x:c r="Y30" s="112"/>
      <x:c r="Z30" s="112"/>
    </x:row>
    <x:row r="31">
      <x:c r="A31" s="153"/>
      <x:c r="B31" s="153"/>
      <x:c r="C31" s="153"/>
      <x:c r="D31" s="153"/>
      <x:c r="E31" s="153"/>
      <x:c r="F31" s="153"/>
      <x:c r="G31" s="153"/>
      <x:c r="H31" s="153"/>
      <x:c r="I31" s="153"/>
      <x:c r="J31" s="153"/>
      <x:c r="K31" s="112"/>
      <x:c r="L31" s="112"/>
      <x:c r="M31" s="112"/>
      <x:c r="N31" s="112"/>
      <x:c r="O31" s="112"/>
      <x:c r="P31" s="112"/>
      <x:c r="Q31" s="112"/>
      <x:c r="R31" s="112"/>
      <x:c r="S31" s="112"/>
      <x:c r="T31" s="112"/>
      <x:c r="U31" s="112"/>
      <x:c r="V31" s="112"/>
      <x:c r="W31" s="112"/>
      <x:c r="X31" s="112"/>
      <x:c r="Y31" s="112"/>
      <x:c r="Z31" s="112"/>
    </x:row>
    <x:row r="32">
      <x:c r="A32" s="153"/>
      <x:c r="B32" s="153"/>
      <x:c r="C32" s="153"/>
      <x:c r="D32" s="153"/>
      <x:c r="E32" s="153"/>
      <x:c r="F32" s="153"/>
      <x:c r="G32" s="153"/>
      <x:c r="H32" s="153"/>
      <x:c r="I32" s="153"/>
      <x:c r="J32" s="153"/>
      <x:c r="K32" s="112"/>
      <x:c r="L32" s="112"/>
      <x:c r="M32" s="112"/>
      <x:c r="N32" s="112"/>
      <x:c r="O32" s="112"/>
      <x:c r="P32" s="112"/>
      <x:c r="Q32" s="112"/>
      <x:c r="R32" s="112"/>
      <x:c r="S32" s="112"/>
      <x:c r="T32" s="112"/>
      <x:c r="U32" s="112"/>
      <x:c r="V32" s="112"/>
      <x:c r="W32" s="112"/>
      <x:c r="X32" s="112"/>
      <x:c r="Y32" s="112"/>
      <x:c r="Z32" s="112"/>
    </x:row>
    <x:row r="33">
      <x:c r="A33" s="153"/>
      <x:c r="B33" s="153"/>
      <x:c r="C33" s="153"/>
      <x:c r="D33" s="153"/>
      <x:c r="E33" s="153"/>
      <x:c r="F33" s="153"/>
      <x:c r="G33" s="153"/>
      <x:c r="H33" s="153"/>
      <x:c r="I33" s="153"/>
      <x:c r="J33" s="153"/>
      <x:c r="K33" s="112"/>
      <x:c r="L33" s="112"/>
      <x:c r="M33" s="112"/>
      <x:c r="N33" s="112"/>
      <x:c r="O33" s="112"/>
      <x:c r="P33" s="112"/>
      <x:c r="Q33" s="112"/>
      <x:c r="R33" s="112"/>
      <x:c r="S33" s="112"/>
      <x:c r="T33" s="112"/>
      <x:c r="U33" s="112"/>
      <x:c r="V33" s="112"/>
      <x:c r="W33" s="112"/>
      <x:c r="X33" s="112"/>
      <x:c r="Y33" s="112"/>
      <x:c r="Z33" s="112"/>
    </x:row>
    <x:row r="34">
      <x:c r="A34" s="153"/>
      <x:c r="B34" s="153"/>
      <x:c r="C34" s="153"/>
      <x:c r="D34" s="153"/>
      <x:c r="E34" s="153"/>
      <x:c r="F34" s="153"/>
      <x:c r="G34" s="153"/>
      <x:c r="H34" s="153"/>
      <x:c r="I34" s="153"/>
      <x:c r="J34" s="153"/>
      <x:c r="K34" s="112"/>
      <x:c r="L34" s="112"/>
      <x:c r="M34" s="112"/>
      <x:c r="N34" s="112"/>
      <x:c r="O34" s="112"/>
      <x:c r="P34" s="112"/>
      <x:c r="Q34" s="112"/>
      <x:c r="R34" s="112"/>
      <x:c r="S34" s="112"/>
      <x:c r="T34" s="112"/>
      <x:c r="U34" s="112"/>
      <x:c r="V34" s="112"/>
      <x:c r="W34" s="112"/>
      <x:c r="X34" s="112"/>
      <x:c r="Y34" s="112"/>
      <x:c r="Z34" s="112"/>
    </x:row>
    <x:row r="35">
      <x:c r="A35" s="153"/>
      <x:c r="B35" s="153"/>
      <x:c r="C35" s="153"/>
      <x:c r="D35" s="153"/>
      <x:c r="E35" s="153"/>
      <x:c r="F35" s="153"/>
      <x:c r="G35" s="153"/>
      <x:c r="H35" s="153"/>
      <x:c r="I35" s="153"/>
      <x:c r="J35" s="153"/>
      <x:c r="K35" s="112"/>
      <x:c r="L35" s="112"/>
      <x:c r="M35" s="112"/>
      <x:c r="N35" s="112"/>
      <x:c r="O35" s="112"/>
      <x:c r="P35" s="112"/>
      <x:c r="Q35" s="112"/>
      <x:c r="R35" s="112"/>
      <x:c r="S35" s="112"/>
      <x:c r="T35" s="112"/>
      <x:c r="U35" s="112"/>
      <x:c r="V35" s="112"/>
      <x:c r="W35" s="112"/>
      <x:c r="X35" s="112"/>
      <x:c r="Y35" s="112"/>
      <x:c r="Z35" s="112"/>
    </x:row>
    <x:row r="36">
      <x:c r="A36" s="112"/>
      <x:c r="B36" s="112"/>
      <x:c r="C36" s="112"/>
      <x:c r="D36" s="112"/>
      <x:c r="E36" s="112"/>
      <x:c r="F36" s="112"/>
      <x:c r="G36" s="112"/>
      <x:c r="H36" s="112"/>
      <x:c r="I36" s="112"/>
      <x:c r="J36" s="112"/>
      <x:c r="K36" s="112"/>
      <x:c r="L36" s="112"/>
      <x:c r="M36" s="112"/>
      <x:c r="N36" s="112"/>
      <x:c r="O36" s="112"/>
      <x:c r="P36" s="112"/>
      <x:c r="Q36" s="112"/>
      <x:c r="R36" s="112"/>
      <x:c r="S36" s="112"/>
      <x:c r="T36" s="112"/>
      <x:c r="U36" s="112"/>
      <x:c r="V36" s="112"/>
      <x:c r="W36" s="112"/>
      <x:c r="X36" s="112"/>
      <x:c r="Y36" s="112"/>
      <x:c r="Z36" s="112"/>
    </x:row>
    <x:row r="37">
      <x:c r="A37" s="112"/>
      <x:c r="B37" s="112"/>
      <x:c r="C37" s="112"/>
      <x:c r="D37" s="112"/>
      <x:c r="E37" s="112"/>
      <x:c r="F37" s="112"/>
      <x:c r="G37" s="112"/>
      <x:c r="H37" s="112"/>
      <x:c r="I37" s="112"/>
      <x:c r="J37" s="112"/>
      <x:c r="K37" s="112"/>
      <x:c r="L37" s="112"/>
      <x:c r="M37" s="112"/>
      <x:c r="N37" s="112"/>
      <x:c r="O37" s="112"/>
      <x:c r="P37" s="112"/>
      <x:c r="Q37" s="112"/>
      <x:c r="R37" s="112"/>
      <x:c r="S37" s="112"/>
      <x:c r="T37" s="112"/>
      <x:c r="U37" s="112"/>
      <x:c r="V37" s="112"/>
      <x:c r="W37" s="112"/>
      <x:c r="X37" s="112"/>
      <x:c r="Y37" s="112"/>
      <x:c r="Z37" s="112"/>
    </x:row>
    <x:row r="38">
      <x:c r="A38" s="112"/>
      <x:c r="B38" s="112"/>
      <x:c r="C38" s="112"/>
      <x:c r="D38" s="112"/>
      <x:c r="E38" s="112"/>
      <x:c r="F38" s="112"/>
      <x:c r="G38" s="112"/>
      <x:c r="H38" s="112"/>
      <x:c r="I38" s="112"/>
      <x:c r="J38" s="112"/>
      <x:c r="K38" s="112"/>
      <x:c r="L38" s="112"/>
      <x:c r="M38" s="112"/>
      <x:c r="N38" s="112"/>
      <x:c r="O38" s="112"/>
      <x:c r="P38" s="112"/>
      <x:c r="Q38" s="112"/>
      <x:c r="R38" s="112"/>
      <x:c r="S38" s="112"/>
      <x:c r="T38" s="112"/>
      <x:c r="U38" s="112"/>
      <x:c r="V38" s="112"/>
      <x:c r="W38" s="112"/>
      <x:c r="X38" s="112"/>
      <x:c r="Y38" s="112"/>
      <x:c r="Z38" s="112"/>
    </x:row>
    <x:row r="39">
      <x:c r="A39" s="112"/>
      <x:c r="B39" s="112"/>
      <x:c r="C39" s="112"/>
      <x:c r="D39" s="112"/>
      <x:c r="E39" s="112"/>
      <x:c r="F39" s="112"/>
      <x:c r="G39" s="112"/>
      <x:c r="H39" s="112"/>
      <x:c r="I39" s="112"/>
      <x:c r="J39" s="112"/>
      <x:c r="K39" s="112"/>
      <x:c r="L39" s="112"/>
      <x:c r="M39" s="112"/>
      <x:c r="N39" s="112"/>
      <x:c r="O39" s="112"/>
      <x:c r="P39" s="112"/>
      <x:c r="Q39" s="112"/>
      <x:c r="R39" s="112"/>
      <x:c r="S39" s="112"/>
      <x:c r="T39" s="112"/>
      <x:c r="U39" s="112"/>
      <x:c r="V39" s="112"/>
      <x:c r="W39" s="112"/>
      <x:c r="X39" s="112"/>
      <x:c r="Y39" s="112"/>
      <x:c r="Z39" s="112"/>
    </x:row>
    <x:row r="40">
      <x:c r="A40" s="112"/>
      <x:c r="B40" s="112"/>
      <x:c r="C40" s="112"/>
      <x:c r="D40" s="112"/>
      <x:c r="E40" s="112"/>
      <x:c r="F40" s="112"/>
      <x:c r="G40" s="112"/>
      <x:c r="H40" s="112"/>
      <x:c r="I40" s="112"/>
      <x:c r="J40" s="112"/>
      <x:c r="K40" s="112"/>
      <x:c r="L40" s="112"/>
      <x:c r="M40" s="112"/>
      <x:c r="N40" s="112"/>
      <x:c r="O40" s="112"/>
      <x:c r="P40" s="112"/>
      <x:c r="Q40" s="112"/>
      <x:c r="R40" s="112"/>
      <x:c r="S40" s="112"/>
      <x:c r="T40" s="112"/>
      <x:c r="U40" s="112"/>
      <x:c r="V40" s="112"/>
      <x:c r="W40" s="112"/>
      <x:c r="X40" s="112"/>
      <x:c r="Y40" s="112"/>
      <x:c r="Z40" s="112"/>
    </x:row>
  </x:sheetData>
  <x:mergeCells>
    <x:mergeCell ref="A1:J1"/>
    <x:mergeCell ref="A3:B3"/>
    <x:mergeCell ref="D3:E3"/>
    <x:mergeCell ref="L3:N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0" customHeight="1">
      <x:c r="A1" s="111" t="str">
        <x:v>Custom Buoyancy Solver</x:v>
      </x:c>
      <x:c r="B1" s="153"/>
      <x:c r="C1" s="153"/>
      <x:c r="D1" s="153"/>
      <x:c r="E1" s="153"/>
      <x:c r="F1" s="153"/>
      <x:c r="G1" s="153"/>
      <x:c r="H1" s="153"/>
      <x:c r="I1" s="153"/>
      <x:c r="J1" s="153"/>
      <x:c r="K1" s="112"/>
      <x:c r="L1" s="112"/>
      <x:c r="M1" s="112"/>
      <x:c r="N1" s="112"/>
      <x:c r="O1" s="112"/>
      <x:c r="P1" s="112"/>
      <x:c r="Q1" s="112"/>
      <x:c r="R1" s="112"/>
      <x:c r="S1" s="112"/>
      <x:c r="T1" s="112"/>
      <x:c r="U1" s="112"/>
      <x:c r="V1" s="112"/>
      <x:c r="W1" s="112"/>
      <x:c r="X1" s="112"/>
      <x:c r="Y1" s="112"/>
      <x:c r="Z1" s="112"/>
    </x:row>
    <x:row r="2">
      <x:c r="A2" s="153"/>
      <x:c r="B2" s="153"/>
      <x:c r="C2" s="153"/>
      <x:c r="D2" s="153"/>
      <x:c r="E2" s="153"/>
      <x:c r="F2" s="153"/>
      <x:c r="G2" s="153"/>
      <x:c r="H2" s="153"/>
      <x:c r="I2" s="153"/>
      <x:c r="J2" s="153"/>
      <x:c r="K2" s="112"/>
      <x:c r="L2" s="112"/>
      <x:c r="M2" s="112"/>
      <x:c r="N2" s="112"/>
      <x:c r="O2" s="112"/>
      <x:c r="P2" s="112"/>
      <x:c r="Q2" s="112"/>
      <x:c r="R2" s="112"/>
      <x:c r="S2" s="112"/>
      <x:c r="T2" s="112"/>
      <x:c r="U2" s="112"/>
      <x:c r="V2" s="112"/>
      <x:c r="W2" s="112"/>
      <x:c r="X2" s="112"/>
      <x:c r="Y2" s="112"/>
      <x:c r="Z2" s="112"/>
    </x:row>
    <x:row r="3">
      <x:c r="A3" s="191" t="str">
        <x:v>Inputs</x:v>
      </x:c>
      <x:c r="B3" s="153"/>
      <x:c r="C3" s="153"/>
      <x:c r="D3" s="191" t="str">
        <x:v>Checks / results</x:v>
      </x:c>
      <x:c r="E3" s="153"/>
      <x:c r="F3" s="153"/>
      <x:c r="G3" s="153"/>
      <x:c r="H3" s="153"/>
      <x:c r="I3" s="153"/>
      <x:c r="J3" s="153"/>
      <x:c r="K3" s="112"/>
      <x:c r="L3" s="112"/>
      <x:c r="M3" s="112"/>
      <x:c r="N3" s="112"/>
      <x:c r="O3" s="112"/>
      <x:c r="P3" s="112"/>
      <x:c r="Q3" s="112"/>
      <x:c r="R3" s="112"/>
      <x:c r="S3" s="112"/>
      <x:c r="T3" s="112"/>
      <x:c r="U3" s="112"/>
      <x:c r="V3" s="112"/>
      <x:c r="W3" s="112"/>
      <x:c r="X3" s="112"/>
      <x:c r="Y3" s="112"/>
      <x:c r="Z3" s="112"/>
    </x:row>
    <x:row r="4">
      <x:c r="A4" s="193" t="str">
        <x:v>Total length L [m]</x:v>
      </x:c>
      <x:c r="B4" s="247" t="n">
        <x:v>40</x:v>
      </x:c>
      <x:c r="C4" s="153"/>
      <x:c r="D4" s="193" t="str">
        <x:v>Total downward weight W [kN]</x:v>
      </x:c>
      <x:c r="E4" s="195" t="n">
        <x:f>SUMPRODUCT(D11:D30,E11:E30)</x:f>
        <x:v>0</x:v>
      </x:c>
      <x:c r="F4" s="153"/>
      <x:c r="G4" s="153"/>
      <x:c r="H4" s="153"/>
      <x:c r="I4" s="153"/>
      <x:c r="J4" s="153"/>
      <x:c r="K4" s="112"/>
      <x:c r="L4" s="248"/>
      <x:c r="M4" s="248"/>
      <x:c r="N4" s="248"/>
      <x:c r="O4" s="112"/>
      <x:c r="P4" s="112"/>
      <x:c r="Q4" s="112"/>
      <x:c r="R4" s="112"/>
      <x:c r="S4" s="112"/>
      <x:c r="T4" s="112"/>
      <x:c r="U4" s="112"/>
      <x:c r="V4" s="112"/>
      <x:c r="W4" s="112"/>
      <x:c r="X4" s="112"/>
      <x:c r="Y4" s="112"/>
      <x:c r="Z4" s="112"/>
    </x:row>
    <x:row r="5">
      <x:c r="A5" s="199" t="str">
        <x:v>Tip</x:v>
      </x:c>
      <x:c r="B5" s="238" t="str">
        <x:v>Enter both w and b by segment. Use kN/m.</x:v>
      </x:c>
      <x:c r="C5" s="153"/>
      <x:c r="D5" s="196" t="str">
        <x:v>Total buoyancy B [kN]</x:v>
      </x:c>
      <x:c r="E5" s="198" t="n">
        <x:f>SUMPRODUCT(D11:D30,F11:F30)</x:f>
        <x:v>0</x:v>
      </x:c>
      <x:c r="F5" s="153"/>
      <x:c r="G5" s="153"/>
      <x:c r="H5" s="153"/>
      <x:c r="I5" s="153"/>
      <x:c r="J5" s="153"/>
      <x:c r="K5" s="112"/>
      <x:c r="L5" s="248"/>
      <x:c r="M5" s="248"/>
      <x:c r="N5" s="248"/>
      <x:c r="O5" s="112"/>
      <x:c r="P5" s="112"/>
      <x:c r="Q5" s="112"/>
      <x:c r="R5" s="112"/>
      <x:c r="S5" s="112"/>
      <x:c r="T5" s="112"/>
      <x:c r="U5" s="112"/>
      <x:c r="V5" s="112"/>
      <x:c r="W5" s="112"/>
      <x:c r="X5" s="112"/>
      <x:c r="Y5" s="112"/>
      <x:c r="Z5" s="112"/>
    </x:row>
    <x:row r="6">
      <x:c r="A6" s="202"/>
      <x:c r="B6" s="153"/>
      <x:c r="C6" s="153"/>
      <x:c r="D6" s="196" t="str">
        <x:v>Net total W-B [kN]</x:v>
      </x:c>
      <x:c r="E6" s="198" t="n">
        <x:f>E4-E5</x:f>
        <x:v>0</x:v>
      </x:c>
      <x:c r="F6" s="153"/>
      <x:c r="G6" s="153"/>
      <x:c r="H6" s="153"/>
      <x:c r="I6" s="153"/>
      <x:c r="J6" s="153"/>
      <x:c r="K6" s="112"/>
      <x:c r="L6" s="248"/>
      <x:c r="M6" s="248"/>
      <x:c r="N6" s="248"/>
      <x:c r="O6" s="112"/>
      <x:c r="P6" s="112"/>
      <x:c r="Q6" s="112"/>
      <x:c r="R6" s="112"/>
      <x:c r="S6" s="112"/>
      <x:c r="T6" s="112"/>
      <x:c r="U6" s="112"/>
      <x:c r="V6" s="112"/>
      <x:c r="W6" s="112"/>
      <x:c r="X6" s="112"/>
      <x:c r="Y6" s="112"/>
      <x:c r="Z6" s="112"/>
    </x:row>
    <x:row r="7">
      <x:c r="A7" s="202"/>
      <x:c r="B7" s="153"/>
      <x:c r="C7" s="153"/>
      <x:c r="D7" s="196" t="str">
        <x:v>End shear V(L) [kN]</x:v>
      </x:c>
      <x:c r="E7" s="198" t="n">
        <x:f>INDEX(I11:I30,COUNTA(I11:I30))</x:f>
        <x:v>0</x:v>
      </x:c>
      <x:c r="F7" s="153"/>
      <x:c r="G7" s="153"/>
      <x:c r="H7" s="153"/>
      <x:c r="I7" s="153"/>
      <x:c r="J7" s="153"/>
      <x:c r="K7" s="112"/>
      <x:c r="L7" s="248"/>
      <x:c r="M7" s="248"/>
      <x:c r="N7" s="248"/>
      <x:c r="O7" s="112"/>
      <x:c r="P7" s="112"/>
      <x:c r="Q7" s="112"/>
      <x:c r="R7" s="112"/>
      <x:c r="S7" s="112"/>
      <x:c r="T7" s="112"/>
      <x:c r="U7" s="112"/>
      <x:c r="V7" s="112"/>
      <x:c r="W7" s="112"/>
      <x:c r="X7" s="112"/>
      <x:c r="Y7" s="112"/>
      <x:c r="Z7" s="112"/>
    </x:row>
    <x:row r="8">
      <x:c r="A8" s="153"/>
      <x:c r="B8" s="153"/>
      <x:c r="C8" s="153"/>
      <x:c r="D8" s="196" t="str">
        <x:v>Midship bending moment [kN*m]</x:v>
      </x:c>
      <x:c r="E8" s="198" t="n">
        <x:f>INDEX(J11:J30,MATCH($B$4/2,C11:C30,1))</x:f>
        <x:v>0</x:v>
      </x:c>
      <x:c r="F8" s="153"/>
      <x:c r="G8" s="153"/>
      <x:c r="H8" s="153"/>
      <x:c r="I8" s="153"/>
      <x:c r="J8" s="153"/>
      <x:c r="K8" s="112"/>
      <x:c r="L8" s="248"/>
      <x:c r="M8" s="248"/>
      <x:c r="N8" s="248"/>
      <x:c r="O8" s="112"/>
      <x:c r="P8" s="112"/>
      <x:c r="Q8" s="112"/>
      <x:c r="R8" s="112"/>
      <x:c r="S8" s="112"/>
      <x:c r="T8" s="112"/>
      <x:c r="U8" s="112"/>
      <x:c r="V8" s="112"/>
      <x:c r="W8" s="112"/>
      <x:c r="X8" s="112"/>
      <x:c r="Y8" s="112"/>
      <x:c r="Z8" s="112"/>
    </x:row>
    <x:row r="9">
      <x:c r="A9" s="153"/>
      <x:c r="B9" s="153"/>
      <x:c r="C9" s="153"/>
      <x:c r="D9" s="199" t="str">
        <x:v>Condition</x:v>
      </x:c>
      <x:c r="E9" s="201" t="str">
        <x:f>IF(E8&lt;0,"Sagging",IF(E8&gt;0,"Hogging","Neutral"))</x:f>
        <x:v>Neutral</x:v>
      </x:c>
      <x:c r="F9" s="153"/>
      <x:c r="G9" s="153"/>
      <x:c r="H9" s="153"/>
      <x:c r="I9" s="153"/>
      <x:c r="J9" s="153"/>
      <x:c r="K9" s="112"/>
      <x:c r="L9" s="112"/>
      <x:c r="M9" s="112"/>
      <x:c r="N9" s="112"/>
      <x:c r="O9" s="112"/>
      <x:c r="P9" s="112"/>
      <x:c r="Q9" s="112"/>
      <x:c r="R9" s="112"/>
      <x:c r="S9" s="112"/>
      <x:c r="T9" s="112"/>
      <x:c r="U9" s="112"/>
      <x:c r="V9" s="112"/>
      <x:c r="W9" s="112"/>
      <x:c r="X9" s="112"/>
      <x:c r="Y9" s="112"/>
      <x:c r="Z9" s="112"/>
    </x:row>
    <x:row r="10" ht="36" customHeight="1">
      <x:c r="A10" s="24" t="str">
        <x:v>Seg.</x:v>
      </x:c>
      <x:c r="B10" s="87" t="str">
        <x:v>x start [m]</x:v>
      </x:c>
      <x:c r="C10" s="87" t="str">
        <x:v>x end [m]</x:v>
      </x:c>
      <x:c r="D10" s="87" t="str">
        <x:v>dx [m]</x:v>
      </x:c>
      <x:c r="E10" s="87" t="str">
        <x:v>Weight w [kN/m]</x:v>
      </x:c>
      <x:c r="F10" s="87" t="str">
        <x:v>Buoyancy b [kN/m]</x:v>
      </x:c>
      <x:c r="G10" s="87" t="str">
        <x:v>Net q=w-b [kN/m]</x:v>
      </x:c>
      <x:c r="H10" s="87" t="str">
        <x:v>Segment force q*dx [kN]</x:v>
      </x:c>
      <x:c r="I10" s="87" t="str">
        <x:v>Cum. shear V [kN]</x:v>
      </x:c>
      <x:c r="J10" s="25" t="str">
        <x:v>Cum. moment M [kN*m]</x:v>
      </x:c>
      <x:c r="K10" s="112"/>
      <x:c r="L10" s="112"/>
      <x:c r="M10" s="112"/>
      <x:c r="N10" s="112"/>
      <x:c r="O10" s="112"/>
      <x:c r="P10" s="112"/>
      <x:c r="Q10" s="112"/>
      <x:c r="R10" s="112"/>
      <x:c r="S10" s="112"/>
      <x:c r="T10" s="112"/>
      <x:c r="U10" s="112"/>
      <x:c r="V10" s="112"/>
      <x:c r="W10" s="112"/>
      <x:c r="X10" s="112"/>
      <x:c r="Y10" s="112"/>
      <x:c r="Z10" s="112"/>
    </x:row>
    <x:row r="11">
      <x:c r="A11" s="203" t="n">
        <x:v>1</x:v>
      </x:c>
      <x:c r="B11" s="153" t="n">
        <x:f>0</x:f>
        <x:v>0</x:v>
      </x:c>
      <x:c r="C11" s="153" t="n">
        <x:f>$B$4/20</x:f>
        <x:v>2</x:v>
      </x:c>
      <x:c r="D11" s="153" t="n">
        <x:f>C11-B11</x:f>
        <x:v>2</x:v>
      </x:c>
      <x:c r="E11" s="249" t="n">
        <x:v>0</x:v>
      </x:c>
      <x:c r="F11" s="249" t="n">
        <x:v>0</x:v>
      </x:c>
      <x:c r="G11" s="153" t="n">
        <x:f>E11-F11</x:f>
        <x:v>0</x:v>
      </x:c>
      <x:c r="H11" s="153" t="n">
        <x:f>G11*D11</x:f>
        <x:v>0</x:v>
      </x:c>
      <x:c r="I11" s="153" t="n">
        <x:f>H11</x:f>
        <x:v>0</x:v>
      </x:c>
      <x:c r="J11" s="205" t="n">
        <x:f>0.5*G11*D11^2</x:f>
        <x:v>0</x:v>
      </x:c>
      <x:c r="K11" s="112"/>
      <x:c r="L11" s="112"/>
      <x:c r="M11" s="112"/>
      <x:c r="N11" s="112"/>
      <x:c r="O11" s="112"/>
      <x:c r="P11" s="112"/>
      <x:c r="Q11" s="112"/>
      <x:c r="R11" s="112"/>
      <x:c r="S11" s="112"/>
      <x:c r="T11" s="112"/>
      <x:c r="U11" s="112"/>
      <x:c r="V11" s="112"/>
      <x:c r="W11" s="112"/>
      <x:c r="X11" s="112"/>
      <x:c r="Y11" s="112"/>
      <x:c r="Z11" s="112"/>
    </x:row>
    <x:row r="12">
      <x:c r="A12" s="203" t="n">
        <x:v>2</x:v>
      </x:c>
      <x:c r="B12" s="153" t="n">
        <x:f>C11</x:f>
        <x:v>2</x:v>
      </x:c>
      <x:c r="C12" s="153" t="n">
        <x:f>C11+$B$4/20</x:f>
        <x:v>4</x:v>
      </x:c>
      <x:c r="D12" s="153" t="n">
        <x:f>C12-B12</x:f>
        <x:v>2</x:v>
      </x:c>
      <x:c r="E12" s="249" t="n">
        <x:v>0</x:v>
      </x:c>
      <x:c r="F12" s="249" t="n">
        <x:v>0</x:v>
      </x:c>
      <x:c r="G12" s="153" t="n">
        <x:f>E12-F12</x:f>
        <x:v>0</x:v>
      </x:c>
      <x:c r="H12" s="153" t="n">
        <x:f>G12*D12</x:f>
        <x:v>0</x:v>
      </x:c>
      <x:c r="I12" s="153" t="n">
        <x:f>I11+H12</x:f>
        <x:v>0</x:v>
      </x:c>
      <x:c r="J12" s="205" t="n">
        <x:f>J11+I11*D12+0.5*G12*D12^2</x:f>
        <x:v>0</x:v>
      </x:c>
      <x:c r="K12" s="112"/>
      <x:c r="L12" s="112"/>
      <x:c r="M12" s="112"/>
      <x:c r="N12" s="112"/>
      <x:c r="O12" s="112"/>
      <x:c r="P12" s="112"/>
      <x:c r="Q12" s="112"/>
      <x:c r="R12" s="112"/>
      <x:c r="S12" s="112"/>
      <x:c r="T12" s="112"/>
      <x:c r="U12" s="112"/>
      <x:c r="V12" s="112"/>
      <x:c r="W12" s="112"/>
      <x:c r="X12" s="112"/>
      <x:c r="Y12" s="112"/>
      <x:c r="Z12" s="112"/>
    </x:row>
    <x:row r="13">
      <x:c r="A13" s="203" t="n">
        <x:v>3</x:v>
      </x:c>
      <x:c r="B13" s="153" t="n">
        <x:f>C12</x:f>
        <x:v>4</x:v>
      </x:c>
      <x:c r="C13" s="153" t="n">
        <x:f>C12+$B$4/20</x:f>
        <x:v>6</x:v>
      </x:c>
      <x:c r="D13" s="153" t="n">
        <x:f>C13-B13</x:f>
        <x:v>2</x:v>
      </x:c>
      <x:c r="E13" s="249" t="n">
        <x:v>0</x:v>
      </x:c>
      <x:c r="F13" s="249" t="n">
        <x:v>0</x:v>
      </x:c>
      <x:c r="G13" s="153" t="n">
        <x:f>E13-F13</x:f>
        <x:v>0</x:v>
      </x:c>
      <x:c r="H13" s="153" t="n">
        <x:f>G13*D13</x:f>
        <x:v>0</x:v>
      </x:c>
      <x:c r="I13" s="153" t="n">
        <x:f>I12+H13</x:f>
        <x:v>0</x:v>
      </x:c>
      <x:c r="J13" s="205" t="n">
        <x:f>J12+I12*D13+0.5*G13*D13^2</x:f>
        <x:v>0</x:v>
      </x:c>
      <x:c r="K13" s="112"/>
      <x:c r="L13" s="112"/>
      <x:c r="M13" s="112"/>
      <x:c r="N13" s="112"/>
      <x:c r="O13" s="112"/>
      <x:c r="P13" s="112"/>
      <x:c r="Q13" s="112"/>
      <x:c r="R13" s="112"/>
      <x:c r="S13" s="112"/>
      <x:c r="T13" s="112"/>
      <x:c r="U13" s="112"/>
      <x:c r="V13" s="112"/>
      <x:c r="W13" s="112"/>
      <x:c r="X13" s="112"/>
      <x:c r="Y13" s="112"/>
      <x:c r="Z13" s="112"/>
    </x:row>
    <x:row r="14">
      <x:c r="A14" s="203" t="n">
        <x:v>4</x:v>
      </x:c>
      <x:c r="B14" s="153" t="n">
        <x:f>C13</x:f>
        <x:v>6</x:v>
      </x:c>
      <x:c r="C14" s="153" t="n">
        <x:f>C13+$B$4/20</x:f>
        <x:v>8</x:v>
      </x:c>
      <x:c r="D14" s="153" t="n">
        <x:f>C14-B14</x:f>
        <x:v>2</x:v>
      </x:c>
      <x:c r="E14" s="249" t="n">
        <x:v>0</x:v>
      </x:c>
      <x:c r="F14" s="249" t="n">
        <x:v>0</x:v>
      </x:c>
      <x:c r="G14" s="153" t="n">
        <x:f>E14-F14</x:f>
        <x:v>0</x:v>
      </x:c>
      <x:c r="H14" s="153" t="n">
        <x:f>G14*D14</x:f>
        <x:v>0</x:v>
      </x:c>
      <x:c r="I14" s="153" t="n">
        <x:f>I13+H14</x:f>
        <x:v>0</x:v>
      </x:c>
      <x:c r="J14" s="205" t="n">
        <x:f>J13+I13*D14+0.5*G14*D14^2</x:f>
        <x:v>0</x:v>
      </x:c>
      <x:c r="K14" s="112"/>
      <x:c r="L14" s="112"/>
      <x:c r="M14" s="112"/>
      <x:c r="N14" s="112"/>
      <x:c r="O14" s="112"/>
      <x:c r="P14" s="112"/>
      <x:c r="Q14" s="112"/>
      <x:c r="R14" s="112"/>
      <x:c r="S14" s="112"/>
      <x:c r="T14" s="112"/>
      <x:c r="U14" s="112"/>
      <x:c r="V14" s="112"/>
      <x:c r="W14" s="112"/>
      <x:c r="X14" s="112"/>
      <x:c r="Y14" s="112"/>
      <x:c r="Z14" s="112"/>
    </x:row>
    <x:row r="15">
      <x:c r="A15" s="203" t="n">
        <x:v>5</x:v>
      </x:c>
      <x:c r="B15" s="153" t="n">
        <x:f>C14</x:f>
        <x:v>8</x:v>
      </x:c>
      <x:c r="C15" s="153" t="n">
        <x:f>C14+$B$4/20</x:f>
        <x:v>10</x:v>
      </x:c>
      <x:c r="D15" s="153" t="n">
        <x:f>C15-B15</x:f>
        <x:v>2</x:v>
      </x:c>
      <x:c r="E15" s="249" t="n">
        <x:v>0</x:v>
      </x:c>
      <x:c r="F15" s="249" t="n">
        <x:v>0</x:v>
      </x:c>
      <x:c r="G15" s="153" t="n">
        <x:f>E15-F15</x:f>
        <x:v>0</x:v>
      </x:c>
      <x:c r="H15" s="153" t="n">
        <x:f>G15*D15</x:f>
        <x:v>0</x:v>
      </x:c>
      <x:c r="I15" s="153" t="n">
        <x:f>I14+H15</x:f>
        <x:v>0</x:v>
      </x:c>
      <x:c r="J15" s="205" t="n">
        <x:f>J14+I14*D15+0.5*G15*D15^2</x:f>
        <x:v>0</x:v>
      </x:c>
      <x:c r="K15" s="112"/>
      <x:c r="L15" s="112"/>
      <x:c r="M15" s="112"/>
      <x:c r="N15" s="112"/>
      <x:c r="O15" s="112"/>
      <x:c r="P15" s="112"/>
      <x:c r="Q15" s="112"/>
      <x:c r="R15" s="112"/>
      <x:c r="S15" s="112"/>
      <x:c r="T15" s="112"/>
      <x:c r="U15" s="112"/>
      <x:c r="V15" s="112"/>
      <x:c r="W15" s="112"/>
      <x:c r="X15" s="112"/>
      <x:c r="Y15" s="112"/>
      <x:c r="Z15" s="112"/>
    </x:row>
    <x:row r="16">
      <x:c r="A16" s="203" t="n">
        <x:v>6</x:v>
      </x:c>
      <x:c r="B16" s="153" t="n">
        <x:f>C15</x:f>
        <x:v>10</x:v>
      </x:c>
      <x:c r="C16" s="153" t="n">
        <x:f>C15+$B$4/20</x:f>
        <x:v>12</x:v>
      </x:c>
      <x:c r="D16" s="153" t="n">
        <x:f>C16-B16</x:f>
        <x:v>2</x:v>
      </x:c>
      <x:c r="E16" s="249" t="n">
        <x:v>0</x:v>
      </x:c>
      <x:c r="F16" s="249" t="n">
        <x:v>0</x:v>
      </x:c>
      <x:c r="G16" s="153" t="n">
        <x:f>E16-F16</x:f>
        <x:v>0</x:v>
      </x:c>
      <x:c r="H16" s="153" t="n">
        <x:f>G16*D16</x:f>
        <x:v>0</x:v>
      </x:c>
      <x:c r="I16" s="153" t="n">
        <x:f>I15+H16</x:f>
        <x:v>0</x:v>
      </x:c>
      <x:c r="J16" s="205" t="n">
        <x:f>J15+I15*D16+0.5*G16*D16^2</x:f>
        <x:v>0</x:v>
      </x:c>
      <x:c r="K16" s="112"/>
      <x:c r="L16" s="112"/>
      <x:c r="M16" s="112"/>
      <x:c r="N16" s="112"/>
      <x:c r="O16" s="112"/>
      <x:c r="P16" s="112"/>
      <x:c r="Q16" s="112"/>
      <x:c r="R16" s="112"/>
      <x:c r="S16" s="112"/>
      <x:c r="T16" s="112"/>
      <x:c r="U16" s="112"/>
      <x:c r="V16" s="112"/>
      <x:c r="W16" s="112"/>
      <x:c r="X16" s="112"/>
      <x:c r="Y16" s="112"/>
      <x:c r="Z16" s="112"/>
    </x:row>
    <x:row r="17">
      <x:c r="A17" s="203" t="n">
        <x:v>7</x:v>
      </x:c>
      <x:c r="B17" s="153" t="n">
        <x:f>C16</x:f>
        <x:v>12</x:v>
      </x:c>
      <x:c r="C17" s="153" t="n">
        <x:f>C16+$B$4/20</x:f>
        <x:v>14</x:v>
      </x:c>
      <x:c r="D17" s="153" t="n">
        <x:f>C17-B17</x:f>
        <x:v>2</x:v>
      </x:c>
      <x:c r="E17" s="249" t="n">
        <x:v>0</x:v>
      </x:c>
      <x:c r="F17" s="249" t="n">
        <x:v>0</x:v>
      </x:c>
      <x:c r="G17" s="153" t="n">
        <x:f>E17-F17</x:f>
        <x:v>0</x:v>
      </x:c>
      <x:c r="H17" s="153" t="n">
        <x:f>G17*D17</x:f>
        <x:v>0</x:v>
      </x:c>
      <x:c r="I17" s="153" t="n">
        <x:f>I16+H17</x:f>
        <x:v>0</x:v>
      </x:c>
      <x:c r="J17" s="205" t="n">
        <x:f>J16+I16*D17+0.5*G17*D17^2</x:f>
        <x:v>0</x:v>
      </x:c>
      <x:c r="K17" s="112"/>
      <x:c r="L17" s="112"/>
      <x:c r="M17" s="112"/>
      <x:c r="N17" s="112"/>
      <x:c r="O17" s="112"/>
      <x:c r="P17" s="112"/>
      <x:c r="Q17" s="112"/>
      <x:c r="R17" s="112"/>
      <x:c r="S17" s="112"/>
      <x:c r="T17" s="112"/>
      <x:c r="U17" s="112"/>
      <x:c r="V17" s="112"/>
      <x:c r="W17" s="112"/>
      <x:c r="X17" s="112"/>
      <x:c r="Y17" s="112"/>
      <x:c r="Z17" s="112"/>
    </x:row>
    <x:row r="18">
      <x:c r="A18" s="203" t="n">
        <x:v>8</x:v>
      </x:c>
      <x:c r="B18" s="153" t="n">
        <x:f>C17</x:f>
        <x:v>14</x:v>
      </x:c>
      <x:c r="C18" s="153" t="n">
        <x:f>C17+$B$4/20</x:f>
        <x:v>16</x:v>
      </x:c>
      <x:c r="D18" s="153" t="n">
        <x:f>C18-B18</x:f>
        <x:v>2</x:v>
      </x:c>
      <x:c r="E18" s="249" t="n">
        <x:v>0</x:v>
      </x:c>
      <x:c r="F18" s="249" t="n">
        <x:v>0</x:v>
      </x:c>
      <x:c r="G18" s="153" t="n">
        <x:f>E18-F18</x:f>
        <x:v>0</x:v>
      </x:c>
      <x:c r="H18" s="153" t="n">
        <x:f>G18*D18</x:f>
        <x:v>0</x:v>
      </x:c>
      <x:c r="I18" s="153" t="n">
        <x:f>I17+H18</x:f>
        <x:v>0</x:v>
      </x:c>
      <x:c r="J18" s="205" t="n">
        <x:f>J17+I17*D18+0.5*G18*D18^2</x:f>
        <x:v>0</x:v>
      </x:c>
      <x:c r="K18" s="112"/>
      <x:c r="L18" s="112"/>
      <x:c r="M18" s="112"/>
      <x:c r="N18" s="112"/>
      <x:c r="O18" s="112"/>
      <x:c r="P18" s="112"/>
      <x:c r="Q18" s="112"/>
      <x:c r="R18" s="112"/>
      <x:c r="S18" s="112"/>
      <x:c r="T18" s="112"/>
      <x:c r="U18" s="112"/>
      <x:c r="V18" s="112"/>
      <x:c r="W18" s="112"/>
      <x:c r="X18" s="112"/>
      <x:c r="Y18" s="112"/>
      <x:c r="Z18" s="112"/>
    </x:row>
    <x:row r="19">
      <x:c r="A19" s="203" t="n">
        <x:v>9</x:v>
      </x:c>
      <x:c r="B19" s="153" t="n">
        <x:f>C18</x:f>
        <x:v>16</x:v>
      </x:c>
      <x:c r="C19" s="153" t="n">
        <x:f>C18+$B$4/20</x:f>
        <x:v>18</x:v>
      </x:c>
      <x:c r="D19" s="153" t="n">
        <x:f>C19-B19</x:f>
        <x:v>2</x:v>
      </x:c>
      <x:c r="E19" s="249" t="n">
        <x:v>0</x:v>
      </x:c>
      <x:c r="F19" s="249" t="n">
        <x:v>0</x:v>
      </x:c>
      <x:c r="G19" s="153" t="n">
        <x:f>E19-F19</x:f>
        <x:v>0</x:v>
      </x:c>
      <x:c r="H19" s="153" t="n">
        <x:f>G19*D19</x:f>
        <x:v>0</x:v>
      </x:c>
      <x:c r="I19" s="153" t="n">
        <x:f>I18+H19</x:f>
        <x:v>0</x:v>
      </x:c>
      <x:c r="J19" s="205" t="n">
        <x:f>J18+I18*D19+0.5*G19*D19^2</x:f>
        <x:v>0</x:v>
      </x:c>
      <x:c r="K19" s="112"/>
      <x:c r="L19" s="112"/>
      <x:c r="M19" s="112"/>
      <x:c r="N19" s="112"/>
      <x:c r="O19" s="112"/>
      <x:c r="P19" s="112"/>
      <x:c r="Q19" s="112"/>
      <x:c r="R19" s="112"/>
      <x:c r="S19" s="112"/>
      <x:c r="T19" s="112"/>
      <x:c r="U19" s="112"/>
      <x:c r="V19" s="112"/>
      <x:c r="W19" s="112"/>
      <x:c r="X19" s="112"/>
      <x:c r="Y19" s="112"/>
      <x:c r="Z19" s="112"/>
    </x:row>
    <x:row r="20">
      <x:c r="A20" s="203" t="n">
        <x:v>10</x:v>
      </x:c>
      <x:c r="B20" s="153" t="n">
        <x:f>C19</x:f>
        <x:v>18</x:v>
      </x:c>
      <x:c r="C20" s="153" t="n">
        <x:f>C19+$B$4/20</x:f>
        <x:v>20</x:v>
      </x:c>
      <x:c r="D20" s="153" t="n">
        <x:f>C20-B20</x:f>
        <x:v>2</x:v>
      </x:c>
      <x:c r="E20" s="249" t="n">
        <x:v>0</x:v>
      </x:c>
      <x:c r="F20" s="249" t="n">
        <x:v>0</x:v>
      </x:c>
      <x:c r="G20" s="153" t="n">
        <x:f>E20-F20</x:f>
        <x:v>0</x:v>
      </x:c>
      <x:c r="H20" s="153" t="n">
        <x:f>G20*D20</x:f>
        <x:v>0</x:v>
      </x:c>
      <x:c r="I20" s="153" t="n">
        <x:f>I19+H20</x:f>
        <x:v>0</x:v>
      </x:c>
      <x:c r="J20" s="205" t="n">
        <x:f>J19+I19*D20+0.5*G20*D20^2</x:f>
        <x:v>0</x:v>
      </x:c>
      <x:c r="K20" s="112"/>
      <x:c r="L20" s="112"/>
      <x:c r="M20" s="112"/>
      <x:c r="N20" s="112"/>
      <x:c r="O20" s="112"/>
      <x:c r="P20" s="112"/>
      <x:c r="Q20" s="112"/>
      <x:c r="R20" s="112"/>
      <x:c r="S20" s="112"/>
      <x:c r="T20" s="112"/>
      <x:c r="U20" s="112"/>
      <x:c r="V20" s="112"/>
      <x:c r="W20" s="112"/>
      <x:c r="X20" s="112"/>
      <x:c r="Y20" s="112"/>
      <x:c r="Z20" s="112"/>
    </x:row>
    <x:row r="21">
      <x:c r="A21" s="203" t="n">
        <x:v>11</x:v>
      </x:c>
      <x:c r="B21" s="153" t="n">
        <x:f>C20</x:f>
        <x:v>20</x:v>
      </x:c>
      <x:c r="C21" s="153" t="n">
        <x:f>C20+$B$4/20</x:f>
        <x:v>22</x:v>
      </x:c>
      <x:c r="D21" s="153" t="n">
        <x:f>C21-B21</x:f>
        <x:v>2</x:v>
      </x:c>
      <x:c r="E21" s="249" t="n">
        <x:v>0</x:v>
      </x:c>
      <x:c r="F21" s="249" t="n">
        <x:v>0</x:v>
      </x:c>
      <x:c r="G21" s="153" t="n">
        <x:f>E21-F21</x:f>
        <x:v>0</x:v>
      </x:c>
      <x:c r="H21" s="153" t="n">
        <x:f>G21*D21</x:f>
        <x:v>0</x:v>
      </x:c>
      <x:c r="I21" s="153" t="n">
        <x:f>I20+H21</x:f>
        <x:v>0</x:v>
      </x:c>
      <x:c r="J21" s="205" t="n">
        <x:f>J20+I20*D21+0.5*G21*D21^2</x:f>
        <x:v>0</x:v>
      </x:c>
      <x:c r="K21" s="112"/>
      <x:c r="L21" s="112"/>
      <x:c r="M21" s="112"/>
      <x:c r="N21" s="112"/>
      <x:c r="O21" s="112"/>
      <x:c r="P21" s="112"/>
      <x:c r="Q21" s="112"/>
      <x:c r="R21" s="112"/>
      <x:c r="S21" s="112"/>
      <x:c r="T21" s="112"/>
      <x:c r="U21" s="112"/>
      <x:c r="V21" s="112"/>
      <x:c r="W21" s="112"/>
      <x:c r="X21" s="112"/>
      <x:c r="Y21" s="112"/>
      <x:c r="Z21" s="112"/>
    </x:row>
    <x:row r="22">
      <x:c r="A22" s="203" t="n">
        <x:v>12</x:v>
      </x:c>
      <x:c r="B22" s="153" t="n">
        <x:f>C21</x:f>
        <x:v>22</x:v>
      </x:c>
      <x:c r="C22" s="153" t="n">
        <x:f>C21+$B$4/20</x:f>
        <x:v>24</x:v>
      </x:c>
      <x:c r="D22" s="153" t="n">
        <x:f>C22-B22</x:f>
        <x:v>2</x:v>
      </x:c>
      <x:c r="E22" s="249" t="n">
        <x:v>0</x:v>
      </x:c>
      <x:c r="F22" s="249" t="n">
        <x:v>0</x:v>
      </x:c>
      <x:c r="G22" s="153" t="n">
        <x:f>E22-F22</x:f>
        <x:v>0</x:v>
      </x:c>
      <x:c r="H22" s="153" t="n">
        <x:f>G22*D22</x:f>
        <x:v>0</x:v>
      </x:c>
      <x:c r="I22" s="153" t="n">
        <x:f>I21+H22</x:f>
        <x:v>0</x:v>
      </x:c>
      <x:c r="J22" s="205" t="n">
        <x:f>J21+I21*D22+0.5*G22*D22^2</x:f>
        <x:v>0</x:v>
      </x:c>
      <x:c r="K22" s="112"/>
      <x:c r="L22" s="112"/>
      <x:c r="M22" s="112"/>
      <x:c r="N22" s="112"/>
      <x:c r="O22" s="112"/>
      <x:c r="P22" s="112"/>
      <x:c r="Q22" s="112"/>
      <x:c r="R22" s="112"/>
      <x:c r="S22" s="112"/>
      <x:c r="T22" s="112"/>
      <x:c r="U22" s="112"/>
      <x:c r="V22" s="112"/>
      <x:c r="W22" s="112"/>
      <x:c r="X22" s="112"/>
      <x:c r="Y22" s="112"/>
      <x:c r="Z22" s="112"/>
    </x:row>
    <x:row r="23">
      <x:c r="A23" s="203" t="n">
        <x:v>13</x:v>
      </x:c>
      <x:c r="B23" s="153" t="n">
        <x:f>C22</x:f>
        <x:v>24</x:v>
      </x:c>
      <x:c r="C23" s="153" t="n">
        <x:f>C22+$B$4/20</x:f>
        <x:v>26</x:v>
      </x:c>
      <x:c r="D23" s="153" t="n">
        <x:f>C23-B23</x:f>
        <x:v>2</x:v>
      </x:c>
      <x:c r="E23" s="249" t="n">
        <x:v>0</x:v>
      </x:c>
      <x:c r="F23" s="249" t="n">
        <x:v>0</x:v>
      </x:c>
      <x:c r="G23" s="153" t="n">
        <x:f>E23-F23</x:f>
        <x:v>0</x:v>
      </x:c>
      <x:c r="H23" s="153" t="n">
        <x:f>G23*D23</x:f>
        <x:v>0</x:v>
      </x:c>
      <x:c r="I23" s="153" t="n">
        <x:f>I22+H23</x:f>
        <x:v>0</x:v>
      </x:c>
      <x:c r="J23" s="205" t="n">
        <x:f>J22+I22*D23+0.5*G23*D23^2</x:f>
        <x:v>0</x:v>
      </x:c>
      <x:c r="K23" s="112"/>
      <x:c r="L23" s="112"/>
      <x:c r="M23" s="112"/>
      <x:c r="N23" s="112"/>
      <x:c r="O23" s="112"/>
      <x:c r="P23" s="112"/>
      <x:c r="Q23" s="112"/>
      <x:c r="R23" s="112"/>
      <x:c r="S23" s="112"/>
      <x:c r="T23" s="112"/>
      <x:c r="U23" s="112"/>
      <x:c r="V23" s="112"/>
      <x:c r="W23" s="112"/>
      <x:c r="X23" s="112"/>
      <x:c r="Y23" s="112"/>
      <x:c r="Z23" s="112"/>
    </x:row>
    <x:row r="24">
      <x:c r="A24" s="203" t="n">
        <x:v>14</x:v>
      </x:c>
      <x:c r="B24" s="153" t="n">
        <x:f>C23</x:f>
        <x:v>26</x:v>
      </x:c>
      <x:c r="C24" s="153" t="n">
        <x:f>C23+$B$4/20</x:f>
        <x:v>28</x:v>
      </x:c>
      <x:c r="D24" s="153" t="n">
        <x:f>C24-B24</x:f>
        <x:v>2</x:v>
      </x:c>
      <x:c r="E24" s="249" t="n">
        <x:v>0</x:v>
      </x:c>
      <x:c r="F24" s="249" t="n">
        <x:v>0</x:v>
      </x:c>
      <x:c r="G24" s="153" t="n">
        <x:f>E24-F24</x:f>
        <x:v>0</x:v>
      </x:c>
      <x:c r="H24" s="153" t="n">
        <x:f>G24*D24</x:f>
        <x:v>0</x:v>
      </x:c>
      <x:c r="I24" s="153" t="n">
        <x:f>I23+H24</x:f>
        <x:v>0</x:v>
      </x:c>
      <x:c r="J24" s="205" t="n">
        <x:f>J23+I23*D24+0.5*G24*D24^2</x:f>
        <x:v>0</x:v>
      </x:c>
      <x:c r="K24" s="112"/>
      <x:c r="L24" s="112"/>
      <x:c r="M24" s="112"/>
      <x:c r="N24" s="112"/>
      <x:c r="O24" s="112"/>
      <x:c r="P24" s="112"/>
      <x:c r="Q24" s="112"/>
      <x:c r="R24" s="112"/>
      <x:c r="S24" s="112"/>
      <x:c r="T24" s="112"/>
      <x:c r="U24" s="112"/>
      <x:c r="V24" s="112"/>
      <x:c r="W24" s="112"/>
      <x:c r="X24" s="112"/>
      <x:c r="Y24" s="112"/>
      <x:c r="Z24" s="112"/>
    </x:row>
    <x:row r="25">
      <x:c r="A25" s="203" t="n">
        <x:v>15</x:v>
      </x:c>
      <x:c r="B25" s="153" t="n">
        <x:f>C24</x:f>
        <x:v>28</x:v>
      </x:c>
      <x:c r="C25" s="153" t="n">
        <x:f>C24+$B$4/20</x:f>
        <x:v>30</x:v>
      </x:c>
      <x:c r="D25" s="153" t="n">
        <x:f>C25-B25</x:f>
        <x:v>2</x:v>
      </x:c>
      <x:c r="E25" s="249" t="n">
        <x:v>0</x:v>
      </x:c>
      <x:c r="F25" s="249" t="n">
        <x:v>0</x:v>
      </x:c>
      <x:c r="G25" s="153" t="n">
        <x:f>E25-F25</x:f>
        <x:v>0</x:v>
      </x:c>
      <x:c r="H25" s="153" t="n">
        <x:f>G25*D25</x:f>
        <x:v>0</x:v>
      </x:c>
      <x:c r="I25" s="153" t="n">
        <x:f>I24+H25</x:f>
        <x:v>0</x:v>
      </x:c>
      <x:c r="J25" s="205" t="n">
        <x:f>J24+I24*D25+0.5*G25*D25^2</x:f>
        <x:v>0</x:v>
      </x:c>
      <x:c r="K25" s="112"/>
      <x:c r="L25" s="112"/>
      <x:c r="M25" s="112"/>
      <x:c r="N25" s="112"/>
      <x:c r="O25" s="112"/>
      <x:c r="P25" s="112"/>
      <x:c r="Q25" s="112"/>
      <x:c r="R25" s="112"/>
      <x:c r="S25" s="112"/>
      <x:c r="T25" s="112"/>
      <x:c r="U25" s="112"/>
      <x:c r="V25" s="112"/>
      <x:c r="W25" s="112"/>
      <x:c r="X25" s="112"/>
      <x:c r="Y25" s="112"/>
      <x:c r="Z25" s="112"/>
    </x:row>
    <x:row r="26">
      <x:c r="A26" s="203" t="n">
        <x:v>16</x:v>
      </x:c>
      <x:c r="B26" s="153" t="n">
        <x:f>C25</x:f>
        <x:v>30</x:v>
      </x:c>
      <x:c r="C26" s="153" t="n">
        <x:f>C25+$B$4/20</x:f>
        <x:v>32</x:v>
      </x:c>
      <x:c r="D26" s="153" t="n">
        <x:f>C26-B26</x:f>
        <x:v>2</x:v>
      </x:c>
      <x:c r="E26" s="249" t="n">
        <x:v>0</x:v>
      </x:c>
      <x:c r="F26" s="249" t="n">
        <x:v>0</x:v>
      </x:c>
      <x:c r="G26" s="153" t="n">
        <x:f>E26-F26</x:f>
        <x:v>0</x:v>
      </x:c>
      <x:c r="H26" s="153" t="n">
        <x:f>G26*D26</x:f>
        <x:v>0</x:v>
      </x:c>
      <x:c r="I26" s="153" t="n">
        <x:f>I25+H26</x:f>
        <x:v>0</x:v>
      </x:c>
      <x:c r="J26" s="205" t="n">
        <x:f>J25+I25*D26+0.5*G26*D26^2</x:f>
        <x:v>0</x:v>
      </x:c>
      <x:c r="K26" s="112"/>
      <x:c r="L26" s="112"/>
      <x:c r="M26" s="112"/>
      <x:c r="N26" s="112"/>
      <x:c r="O26" s="112"/>
      <x:c r="P26" s="112"/>
      <x:c r="Q26" s="112"/>
      <x:c r="R26" s="112"/>
      <x:c r="S26" s="112"/>
      <x:c r="T26" s="112"/>
      <x:c r="U26" s="112"/>
      <x:c r="V26" s="112"/>
      <x:c r="W26" s="112"/>
      <x:c r="X26" s="112"/>
      <x:c r="Y26" s="112"/>
      <x:c r="Z26" s="112"/>
    </x:row>
    <x:row r="27">
      <x:c r="A27" s="203" t="n">
        <x:v>17</x:v>
      </x:c>
      <x:c r="B27" s="153" t="n">
        <x:f>C26</x:f>
        <x:v>32</x:v>
      </x:c>
      <x:c r="C27" s="153" t="n">
        <x:f>C26+$B$4/20</x:f>
        <x:v>34</x:v>
      </x:c>
      <x:c r="D27" s="153" t="n">
        <x:f>C27-B27</x:f>
        <x:v>2</x:v>
      </x:c>
      <x:c r="E27" s="249" t="n">
        <x:v>0</x:v>
      </x:c>
      <x:c r="F27" s="249" t="n">
        <x:v>0</x:v>
      </x:c>
      <x:c r="G27" s="153" t="n">
        <x:f>E27-F27</x:f>
        <x:v>0</x:v>
      </x:c>
      <x:c r="H27" s="153" t="n">
        <x:f>G27*D27</x:f>
        <x:v>0</x:v>
      </x:c>
      <x:c r="I27" s="153" t="n">
        <x:f>I26+H27</x:f>
        <x:v>0</x:v>
      </x:c>
      <x:c r="J27" s="205" t="n">
        <x:f>J26+I26*D27+0.5*G27*D27^2</x:f>
        <x:v>0</x:v>
      </x:c>
      <x:c r="K27" s="112"/>
      <x:c r="L27" s="112"/>
      <x:c r="M27" s="112"/>
      <x:c r="N27" s="112"/>
      <x:c r="O27" s="112"/>
      <x:c r="P27" s="112"/>
      <x:c r="Q27" s="112"/>
      <x:c r="R27" s="112"/>
      <x:c r="S27" s="112"/>
      <x:c r="T27" s="112"/>
      <x:c r="U27" s="112"/>
      <x:c r="V27" s="112"/>
      <x:c r="W27" s="112"/>
      <x:c r="X27" s="112"/>
      <x:c r="Y27" s="112"/>
      <x:c r="Z27" s="112"/>
    </x:row>
    <x:row r="28">
      <x:c r="A28" s="203" t="n">
        <x:v>18</x:v>
      </x:c>
      <x:c r="B28" s="153" t="n">
        <x:f>C27</x:f>
        <x:v>34</x:v>
      </x:c>
      <x:c r="C28" s="153" t="n">
        <x:f>C27+$B$4/20</x:f>
        <x:v>36</x:v>
      </x:c>
      <x:c r="D28" s="153" t="n">
        <x:f>C28-B28</x:f>
        <x:v>2</x:v>
      </x:c>
      <x:c r="E28" s="249" t="n">
        <x:v>0</x:v>
      </x:c>
      <x:c r="F28" s="249" t="n">
        <x:v>0</x:v>
      </x:c>
      <x:c r="G28" s="153" t="n">
        <x:f>E28-F28</x:f>
        <x:v>0</x:v>
      </x:c>
      <x:c r="H28" s="153" t="n">
        <x:f>G28*D28</x:f>
        <x:v>0</x:v>
      </x:c>
      <x:c r="I28" s="153" t="n">
        <x:f>I27+H28</x:f>
        <x:v>0</x:v>
      </x:c>
      <x:c r="J28" s="205" t="n">
        <x:f>J27+I27*D28+0.5*G28*D28^2</x:f>
        <x:v>0</x:v>
      </x:c>
      <x:c r="K28" s="112"/>
      <x:c r="L28" s="112"/>
      <x:c r="M28" s="112"/>
      <x:c r="N28" s="112"/>
      <x:c r="O28" s="112"/>
      <x:c r="P28" s="112"/>
      <x:c r="Q28" s="112"/>
      <x:c r="R28" s="112"/>
      <x:c r="S28" s="112"/>
      <x:c r="T28" s="112"/>
      <x:c r="U28" s="112"/>
      <x:c r="V28" s="112"/>
      <x:c r="W28" s="112"/>
      <x:c r="X28" s="112"/>
      <x:c r="Y28" s="112"/>
      <x:c r="Z28" s="112"/>
    </x:row>
    <x:row r="29">
      <x:c r="A29" s="203" t="n">
        <x:v>19</x:v>
      </x:c>
      <x:c r="B29" s="153" t="n">
        <x:f>C28</x:f>
        <x:v>36</x:v>
      </x:c>
      <x:c r="C29" s="153" t="n">
        <x:f>C28+$B$4/20</x:f>
        <x:v>38</x:v>
      </x:c>
      <x:c r="D29" s="153" t="n">
        <x:f>C29-B29</x:f>
        <x:v>2</x:v>
      </x:c>
      <x:c r="E29" s="249" t="n">
        <x:v>0</x:v>
      </x:c>
      <x:c r="F29" s="249" t="n">
        <x:v>0</x:v>
      </x:c>
      <x:c r="G29" s="153" t="n">
        <x:f>E29-F29</x:f>
        <x:v>0</x:v>
      </x:c>
      <x:c r="H29" s="153" t="n">
        <x:f>G29*D29</x:f>
        <x:v>0</x:v>
      </x:c>
      <x:c r="I29" s="153" t="n">
        <x:f>I28+H29</x:f>
        <x:v>0</x:v>
      </x:c>
      <x:c r="J29" s="205" t="n">
        <x:f>J28+I28*D29+0.5*G29*D29^2</x:f>
        <x:v>0</x:v>
      </x:c>
      <x:c r="K29" s="112"/>
      <x:c r="L29" s="112"/>
      <x:c r="M29" s="112"/>
      <x:c r="N29" s="112"/>
      <x:c r="O29" s="112"/>
      <x:c r="P29" s="112"/>
      <x:c r="Q29" s="112"/>
      <x:c r="R29" s="112"/>
      <x:c r="S29" s="112"/>
      <x:c r="T29" s="112"/>
      <x:c r="U29" s="112"/>
      <x:c r="V29" s="112"/>
      <x:c r="W29" s="112"/>
      <x:c r="X29" s="112"/>
      <x:c r="Y29" s="112"/>
      <x:c r="Z29" s="112"/>
    </x:row>
    <x:row r="30">
      <x:c r="A30" s="206" t="n">
        <x:v>20</x:v>
      </x:c>
      <x:c r="B30" s="207" t="n">
        <x:f>C29</x:f>
        <x:v>38</x:v>
      </x:c>
      <x:c r="C30" s="207" t="n">
        <x:f>C29+$B$4/20</x:f>
        <x:v>40</x:v>
      </x:c>
      <x:c r="D30" s="207" t="n">
        <x:f>C30-B30</x:f>
        <x:v>2</x:v>
      </x:c>
      <x:c r="E30" s="250" t="n">
        <x:v>0</x:v>
      </x:c>
      <x:c r="F30" s="250" t="n">
        <x:v>0</x:v>
      </x:c>
      <x:c r="G30" s="207" t="n">
        <x:f>E30-F30</x:f>
        <x:v>0</x:v>
      </x:c>
      <x:c r="H30" s="207" t="n">
        <x:f>G30*D30</x:f>
        <x:v>0</x:v>
      </x:c>
      <x:c r="I30" s="207" t="n">
        <x:f>I29+H30</x:f>
        <x:v>0</x:v>
      </x:c>
      <x:c r="J30" s="209" t="n">
        <x:f>J29+I29*D30+0.5*G30*D30^2</x:f>
        <x:v>0</x:v>
      </x:c>
      <x:c r="K30" s="112"/>
      <x:c r="L30" s="112"/>
      <x:c r="M30" s="112"/>
      <x:c r="N30" s="112"/>
      <x:c r="O30" s="112"/>
      <x:c r="P30" s="112"/>
      <x:c r="Q30" s="112"/>
      <x:c r="R30" s="112"/>
      <x:c r="S30" s="112"/>
      <x:c r="T30" s="112"/>
      <x:c r="U30" s="112"/>
      <x:c r="V30" s="112"/>
      <x:c r="W30" s="112"/>
      <x:c r="X30" s="112"/>
      <x:c r="Y30" s="112"/>
      <x:c r="Z30" s="112"/>
    </x:row>
    <x:row r="31">
      <x:c r="A31" s="153"/>
      <x:c r="B31" s="153"/>
      <x:c r="C31" s="153"/>
      <x:c r="D31" s="153"/>
      <x:c r="E31" s="153"/>
      <x:c r="F31" s="153"/>
      <x:c r="G31" s="153"/>
      <x:c r="H31" s="153"/>
      <x:c r="I31" s="153"/>
      <x:c r="J31" s="153"/>
      <x:c r="K31" s="112"/>
      <x:c r="L31" s="112"/>
      <x:c r="M31" s="112"/>
      <x:c r="N31" s="112"/>
      <x:c r="O31" s="112"/>
      <x:c r="P31" s="112"/>
      <x:c r="Q31" s="112"/>
      <x:c r="R31" s="112"/>
      <x:c r="S31" s="112"/>
      <x:c r="T31" s="112"/>
      <x:c r="U31" s="112"/>
      <x:c r="V31" s="112"/>
      <x:c r="W31" s="112"/>
      <x:c r="X31" s="112"/>
      <x:c r="Y31" s="112"/>
      <x:c r="Z31" s="112"/>
    </x:row>
    <x:row r="32">
      <x:c r="A32" s="153"/>
      <x:c r="B32" s="153"/>
      <x:c r="C32" s="153"/>
      <x:c r="D32" s="153"/>
      <x:c r="E32" s="153"/>
      <x:c r="F32" s="153"/>
      <x:c r="G32" s="153"/>
      <x:c r="H32" s="153"/>
      <x:c r="I32" s="153"/>
      <x:c r="J32" s="153"/>
      <x:c r="K32" s="112"/>
      <x:c r="L32" s="112"/>
      <x:c r="M32" s="112"/>
      <x:c r="N32" s="112"/>
      <x:c r="O32" s="112"/>
      <x:c r="P32" s="112"/>
      <x:c r="Q32" s="112"/>
      <x:c r="R32" s="112"/>
      <x:c r="S32" s="112"/>
      <x:c r="T32" s="112"/>
      <x:c r="U32" s="112"/>
      <x:c r="V32" s="112"/>
      <x:c r="W32" s="112"/>
      <x:c r="X32" s="112"/>
      <x:c r="Y32" s="112"/>
      <x:c r="Z32" s="112"/>
    </x:row>
    <x:row r="33">
      <x:c r="A33" s="153"/>
      <x:c r="B33" s="153"/>
      <x:c r="C33" s="153"/>
      <x:c r="D33" s="153"/>
      <x:c r="E33" s="153"/>
      <x:c r="F33" s="153"/>
      <x:c r="G33" s="153"/>
      <x:c r="H33" s="153"/>
      <x:c r="I33" s="153"/>
      <x:c r="J33" s="153"/>
      <x:c r="K33" s="112"/>
      <x:c r="L33" s="112"/>
      <x:c r="M33" s="112"/>
      <x:c r="N33" s="112"/>
      <x:c r="O33" s="112"/>
      <x:c r="P33" s="112"/>
      <x:c r="Q33" s="112"/>
      <x:c r="R33" s="112"/>
      <x:c r="S33" s="112"/>
      <x:c r="T33" s="112"/>
      <x:c r="U33" s="112"/>
      <x:c r="V33" s="112"/>
      <x:c r="W33" s="112"/>
      <x:c r="X33" s="112"/>
      <x:c r="Y33" s="112"/>
      <x:c r="Z33" s="112"/>
    </x:row>
    <x:row r="34">
      <x:c r="A34" s="153"/>
      <x:c r="B34" s="153"/>
      <x:c r="C34" s="153"/>
      <x:c r="D34" s="153"/>
      <x:c r="E34" s="153"/>
      <x:c r="F34" s="153"/>
      <x:c r="G34" s="153"/>
      <x:c r="H34" s="153"/>
      <x:c r="I34" s="153"/>
      <x:c r="J34" s="153"/>
      <x:c r="K34" s="112"/>
      <x:c r="L34" s="112"/>
      <x:c r="M34" s="112"/>
      <x:c r="N34" s="112"/>
      <x:c r="O34" s="112"/>
      <x:c r="P34" s="112"/>
      <x:c r="Q34" s="112"/>
      <x:c r="R34" s="112"/>
      <x:c r="S34" s="112"/>
      <x:c r="T34" s="112"/>
      <x:c r="U34" s="112"/>
      <x:c r="V34" s="112"/>
      <x:c r="W34" s="112"/>
      <x:c r="X34" s="112"/>
      <x:c r="Y34" s="112"/>
      <x:c r="Z34" s="112"/>
    </x:row>
    <x:row r="35">
      <x:c r="A35" s="153"/>
      <x:c r="B35" s="153"/>
      <x:c r="C35" s="153"/>
      <x:c r="D35" s="153"/>
      <x:c r="E35" s="153"/>
      <x:c r="F35" s="153"/>
      <x:c r="G35" s="153"/>
      <x:c r="H35" s="153"/>
      <x:c r="I35" s="153"/>
      <x:c r="J35" s="153"/>
      <x:c r="K35" s="112"/>
      <x:c r="L35" s="112"/>
      <x:c r="M35" s="112"/>
      <x:c r="N35" s="112"/>
      <x:c r="O35" s="112"/>
      <x:c r="P35" s="112"/>
      <x:c r="Q35" s="112"/>
      <x:c r="R35" s="112"/>
      <x:c r="S35" s="112"/>
      <x:c r="T35" s="112"/>
      <x:c r="U35" s="112"/>
      <x:c r="V35" s="112"/>
      <x:c r="W35" s="112"/>
      <x:c r="X35" s="112"/>
      <x:c r="Y35" s="112"/>
      <x:c r="Z35" s="112"/>
    </x:row>
    <x:row r="36">
      <x:c r="A36" s="112"/>
      <x:c r="B36" s="112"/>
      <x:c r="C36" s="112"/>
      <x:c r="D36" s="112"/>
      <x:c r="E36" s="112"/>
      <x:c r="F36" s="112"/>
      <x:c r="G36" s="112"/>
      <x:c r="H36" s="112"/>
      <x:c r="I36" s="112"/>
      <x:c r="J36" s="112"/>
      <x:c r="K36" s="112"/>
      <x:c r="L36" s="112"/>
      <x:c r="M36" s="112"/>
      <x:c r="N36" s="112"/>
      <x:c r="O36" s="112"/>
      <x:c r="P36" s="112"/>
      <x:c r="Q36" s="112"/>
      <x:c r="R36" s="112"/>
      <x:c r="S36" s="112"/>
      <x:c r="T36" s="112"/>
      <x:c r="U36" s="112"/>
      <x:c r="V36" s="112"/>
      <x:c r="W36" s="112"/>
      <x:c r="X36" s="112"/>
      <x:c r="Y36" s="112"/>
      <x:c r="Z36" s="112"/>
    </x:row>
    <x:row r="37">
      <x:c r="A37" s="112"/>
      <x:c r="B37" s="112"/>
      <x:c r="C37" s="112"/>
      <x:c r="D37" s="112"/>
      <x:c r="E37" s="112"/>
      <x:c r="F37" s="112"/>
      <x:c r="G37" s="112"/>
      <x:c r="H37" s="112"/>
      <x:c r="I37" s="112"/>
      <x:c r="J37" s="112"/>
      <x:c r="K37" s="112"/>
      <x:c r="L37" s="112"/>
      <x:c r="M37" s="112"/>
      <x:c r="N37" s="112"/>
      <x:c r="O37" s="112"/>
      <x:c r="P37" s="112"/>
      <x:c r="Q37" s="112"/>
      <x:c r="R37" s="112"/>
      <x:c r="S37" s="112"/>
      <x:c r="T37" s="112"/>
      <x:c r="U37" s="112"/>
      <x:c r="V37" s="112"/>
      <x:c r="W37" s="112"/>
      <x:c r="X37" s="112"/>
      <x:c r="Y37" s="112"/>
      <x:c r="Z37" s="112"/>
    </x:row>
    <x:row r="38">
      <x:c r="A38" s="112"/>
      <x:c r="B38" s="112"/>
      <x:c r="C38" s="112"/>
      <x:c r="D38" s="112"/>
      <x:c r="E38" s="112"/>
      <x:c r="F38" s="112"/>
      <x:c r="G38" s="112"/>
      <x:c r="H38" s="112"/>
      <x:c r="I38" s="112"/>
      <x:c r="J38" s="112"/>
      <x:c r="K38" s="112"/>
      <x:c r="L38" s="112"/>
      <x:c r="M38" s="112"/>
      <x:c r="N38" s="112"/>
      <x:c r="O38" s="112"/>
      <x:c r="P38" s="112"/>
      <x:c r="Q38" s="112"/>
      <x:c r="R38" s="112"/>
      <x:c r="S38" s="112"/>
      <x:c r="T38" s="112"/>
      <x:c r="U38" s="112"/>
      <x:c r="V38" s="112"/>
      <x:c r="W38" s="112"/>
      <x:c r="X38" s="112"/>
      <x:c r="Y38" s="112"/>
      <x:c r="Z38" s="112"/>
    </x:row>
    <x:row r="39">
      <x:c r="A39" s="112"/>
      <x:c r="B39" s="112"/>
      <x:c r="C39" s="112"/>
      <x:c r="D39" s="112"/>
      <x:c r="E39" s="112"/>
      <x:c r="F39" s="112"/>
      <x:c r="G39" s="112"/>
      <x:c r="H39" s="112"/>
      <x:c r="I39" s="112"/>
      <x:c r="J39" s="112"/>
      <x:c r="K39" s="112"/>
      <x:c r="L39" s="112"/>
      <x:c r="M39" s="112"/>
      <x:c r="N39" s="112"/>
      <x:c r="O39" s="112"/>
      <x:c r="P39" s="112"/>
      <x:c r="Q39" s="112"/>
      <x:c r="R39" s="112"/>
      <x:c r="S39" s="112"/>
      <x:c r="T39" s="112"/>
      <x:c r="U39" s="112"/>
      <x:c r="V39" s="112"/>
      <x:c r="W39" s="112"/>
      <x:c r="X39" s="112"/>
      <x:c r="Y39" s="112"/>
      <x:c r="Z39" s="112"/>
    </x:row>
    <x:row r="40">
      <x:c r="A40" s="112"/>
      <x:c r="B40" s="112"/>
      <x:c r="C40" s="112"/>
      <x:c r="D40" s="112"/>
      <x:c r="E40" s="112"/>
      <x:c r="F40" s="112"/>
      <x:c r="G40" s="112"/>
      <x:c r="H40" s="112"/>
      <x:c r="I40" s="112"/>
      <x:c r="J40" s="112"/>
      <x:c r="K40" s="112"/>
      <x:c r="L40" s="112"/>
      <x:c r="M40" s="112"/>
      <x:c r="N40" s="112"/>
      <x:c r="O40" s="112"/>
      <x:c r="P40" s="112"/>
      <x:c r="Q40" s="112"/>
      <x:c r="R40" s="112"/>
      <x:c r="S40" s="112"/>
      <x:c r="T40" s="112"/>
      <x:c r="U40" s="112"/>
      <x:c r="V40" s="112"/>
      <x:c r="W40" s="112"/>
      <x:c r="X40" s="112"/>
      <x:c r="Y40" s="112"/>
      <x:c r="Z40" s="112"/>
    </x:row>
  </x:sheetData>
  <x:mergeCells>
    <x:mergeCell ref="A1:K1"/>
    <x:mergeCell ref="A3:B3"/>
    <x:mergeCell ref="D3:E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5" hidden="0" customWidth="1"/>
    <x:col min="9" max="9" width="15" hidden="0" customWidth="1"/>
    <x:col min="10" max="10" width="15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20" customHeight="1">
      <x:c r="A1" s="111" t="str">
        <x:v>Example 4-segment loaded barge</x:v>
      </x:c>
      <x:c r="B1" s="153"/>
      <x:c r="C1" s="153"/>
      <x:c r="D1" s="153"/>
      <x:c r="E1" s="153"/>
      <x:c r="F1" s="153"/>
      <x:c r="G1" s="153"/>
      <x:c r="H1" s="153"/>
      <x:c r="I1" s="153"/>
      <x:c r="J1" s="153"/>
      <x:c r="K1" s="112"/>
      <x:c r="L1" s="112"/>
      <x:c r="M1" s="112"/>
      <x:c r="N1" s="112"/>
      <x:c r="O1" s="112"/>
      <x:c r="P1" s="112"/>
      <x:c r="Q1" s="112"/>
      <x:c r="R1" s="112"/>
      <x:c r="S1" s="112"/>
      <x:c r="T1" s="112"/>
      <x:c r="U1" s="112"/>
      <x:c r="V1" s="112"/>
      <x:c r="W1" s="112"/>
      <x:c r="X1" s="112"/>
      <x:c r="Y1" s="112"/>
      <x:c r="Z1" s="112"/>
    </x:row>
    <x:row r="2">
      <x:c r="A2" s="153"/>
      <x:c r="B2" s="153"/>
      <x:c r="C2" s="153"/>
      <x:c r="D2" s="153"/>
      <x:c r="E2" s="153"/>
      <x:c r="F2" s="153"/>
      <x:c r="G2" s="153"/>
      <x:c r="H2" s="153"/>
      <x:c r="I2" s="153"/>
      <x:c r="J2" s="153"/>
      <x:c r="K2" s="112"/>
      <x:c r="L2" s="112"/>
      <x:c r="M2" s="112"/>
      <x:c r="N2" s="112"/>
      <x:c r="O2" s="112"/>
      <x:c r="P2" s="112"/>
      <x:c r="Q2" s="112"/>
      <x:c r="R2" s="112"/>
      <x:c r="S2" s="112"/>
      <x:c r="T2" s="112"/>
      <x:c r="U2" s="112"/>
      <x:c r="V2" s="112"/>
      <x:c r="W2" s="112"/>
      <x:c r="X2" s="112"/>
      <x:c r="Y2" s="112"/>
      <x:c r="Z2" s="112"/>
    </x:row>
    <x:row r="3">
      <x:c r="A3" s="191" t="str">
        <x:v>Inputs</x:v>
      </x:c>
      <x:c r="B3" s="153"/>
      <x:c r="C3" s="153"/>
      <x:c r="D3" s="191" t="str">
        <x:v>Key results</x:v>
      </x:c>
      <x:c r="E3" s="153"/>
      <x:c r="F3" s="153"/>
      <x:c r="G3" s="153"/>
      <x:c r="H3" s="153"/>
      <x:c r="I3" s="153"/>
      <x:c r="J3" s="153"/>
      <x:c r="K3" s="112"/>
      <x:c r="L3" s="192" t="str">
        <x:v>Example notes</x:v>
      </x:c>
      <x:c r="M3" s="112"/>
      <x:c r="N3" s="112"/>
      <x:c r="O3" s="112"/>
      <x:c r="P3" s="112"/>
      <x:c r="Q3" s="112"/>
      <x:c r="R3" s="112"/>
      <x:c r="S3" s="112"/>
      <x:c r="T3" s="112"/>
      <x:c r="U3" s="112"/>
      <x:c r="V3" s="112"/>
      <x:c r="W3" s="112"/>
      <x:c r="X3" s="112"/>
      <x:c r="Y3" s="112"/>
      <x:c r="Z3" s="112"/>
    </x:row>
    <x:row r="4">
      <x:c r="A4" s="193" t="str">
        <x:v>Total length L [m]</x:v>
      </x:c>
      <x:c r="B4" s="194" t="n">
        <x:v>40</x:v>
      </x:c>
      <x:c r="C4" s="153"/>
      <x:c r="D4" s="193" t="str">
        <x:v>Total downward weight W [kN]</x:v>
      </x:c>
      <x:c r="E4" s="195" t="n">
        <x:f>SUMPRODUCT(D11:D30,E11:E30)</x:f>
        <x:v>10400</x:v>
      </x:c>
      <x:c r="F4" s="153"/>
      <x:c r="G4" s="153"/>
      <x:c r="H4" s="153"/>
      <x:c r="I4" s="153"/>
      <x:c r="J4" s="153"/>
      <x:c r="K4" s="112"/>
      <x:c r="L4" s="189" t="str">
        <x:v>Classic 4 equal segments with weight intensities 2p, 5p, 4p, 2p.</x:v>
      </x:c>
      <x:c r="M4" s="189"/>
      <x:c r="N4" s="189"/>
      <x:c r="O4" s="112"/>
      <x:c r="P4" s="112"/>
      <x:c r="Q4" s="112"/>
      <x:c r="R4" s="112"/>
      <x:c r="S4" s="112"/>
      <x:c r="T4" s="112"/>
      <x:c r="U4" s="112"/>
      <x:c r="V4" s="112"/>
      <x:c r="W4" s="112"/>
      <x:c r="X4" s="112"/>
      <x:c r="Y4" s="112"/>
      <x:c r="Z4" s="112"/>
    </x:row>
    <x:row r="5">
      <x:c r="A5" s="196" t="str">
        <x:v>Draught T [m]</x:v>
      </x:c>
      <x:c r="B5" s="197" t="n">
        <x:v>3</x:v>
      </x:c>
      <x:c r="C5" s="153"/>
      <x:c r="D5" s="196" t="str">
        <x:v>Uniform buoyancy q_B [kN/m]</x:v>
      </x:c>
      <x:c r="E5" s="198" t="n">
        <x:f>E4/$B$4</x:f>
        <x:v>260</x:v>
      </x:c>
      <x:c r="F5" s="153"/>
      <x:c r="G5" s="153"/>
      <x:c r="H5" s="153"/>
      <x:c r="I5" s="153"/>
      <x:c r="J5" s="153"/>
      <x:c r="K5" s="112"/>
      <x:c r="L5" s="189" t="str">
        <x:v>Set p in cell N4 (default 80 kN/m).</x:v>
      </x:c>
      <x:c r="M5" s="189"/>
      <x:c r="N5" s="189"/>
      <x:c r="O5" s="112"/>
      <x:c r="P5" s="112"/>
      <x:c r="Q5" s="112"/>
      <x:c r="R5" s="112"/>
      <x:c r="S5" s="112"/>
      <x:c r="T5" s="112"/>
      <x:c r="U5" s="112"/>
      <x:c r="V5" s="112"/>
      <x:c r="W5" s="112"/>
      <x:c r="X5" s="112"/>
      <x:c r="Y5" s="112"/>
      <x:c r="Z5" s="112"/>
    </x:row>
    <x:row r="6">
      <x:c r="A6" s="196" t="str">
        <x:v>Density rho [kg/m^3]</x:v>
      </x:c>
      <x:c r="B6" s="197" t="n">
        <x:v>1025</x:v>
      </x:c>
      <x:c r="C6" s="153"/>
      <x:c r="D6" s="196" t="str">
        <x:v>Breadth B [m]</x:v>
      </x:c>
      <x:c r="E6" s="198" t="n">
        <x:f>E5*1000/($B$6*$B$7*$B$5)</x:f>
        <x:v>8.619046435112669</x:v>
      </x:c>
      <x:c r="F6" s="153"/>
      <x:c r="G6" s="153"/>
      <x:c r="H6" s="153"/>
      <x:c r="I6" s="153"/>
      <x:c r="J6" s="153"/>
      <x:c r="K6" s="112"/>
      <x:c r="L6" s="189" t="str">
        <x:v>Uniform buoyancy is computed from equilibrium.</x:v>
      </x:c>
      <x:c r="M6" s="189"/>
      <x:c r="N6" s="189"/>
      <x:c r="O6" s="112"/>
      <x:c r="P6" s="112"/>
      <x:c r="Q6" s="112"/>
      <x:c r="R6" s="112"/>
      <x:c r="S6" s="112"/>
      <x:c r="T6" s="112"/>
      <x:c r="U6" s="112"/>
      <x:c r="V6" s="112"/>
      <x:c r="W6" s="112"/>
      <x:c r="X6" s="112"/>
      <x:c r="Y6" s="112"/>
      <x:c r="Z6" s="112"/>
    </x:row>
    <x:row r="7">
      <x:c r="A7" s="199" t="str">
        <x:v>Gravity g [m/s^2]</x:v>
      </x:c>
      <x:c r="B7" s="200" t="n">
        <x:v>9.81</x:v>
      </x:c>
      <x:c r="C7" s="153"/>
      <x:c r="D7" s="196" t="str">
        <x:v>Midship bending moment [kN*m]</x:v>
      </x:c>
      <x:c r="E7" s="198" t="n">
        <x:f>INDEX(J11:J30,MATCH($B$4/2,C11:C30,1))</x:f>
        <x:v>-8000</x:v>
      </x:c>
      <x:c r="F7" s="153"/>
      <x:c r="G7" s="153"/>
      <x:c r="H7" s="153"/>
      <x:c r="I7" s="153"/>
      <x:c r="J7" s="153"/>
      <x:c r="K7" s="112"/>
      <x:c r="L7" s="189" t="str">
        <x:v>Expected breadth is about 8.62 m and condition is sagging.</x:v>
      </x:c>
      <x:c r="M7" s="189"/>
      <x:c r="N7" s="189"/>
      <x:c r="O7" s="112"/>
      <x:c r="P7" s="112"/>
      <x:c r="Q7" s="112"/>
      <x:c r="R7" s="112"/>
      <x:c r="S7" s="112"/>
      <x:c r="T7" s="112"/>
      <x:c r="U7" s="112"/>
      <x:c r="V7" s="112"/>
      <x:c r="W7" s="112"/>
      <x:c r="X7" s="112"/>
      <x:c r="Y7" s="112"/>
      <x:c r="Z7" s="112"/>
    </x:row>
    <x:row r="8">
      <x:c r="A8" s="153"/>
      <x:c r="B8" s="153"/>
      <x:c r="C8" s="153"/>
      <x:c r="D8" s="199" t="str">
        <x:v>Condition</x:v>
      </x:c>
      <x:c r="E8" s="201" t="str">
        <x:f>IF(E7&lt;0,"Sagging",IF(E7&gt;0,"Hogging","Neutral"))</x:f>
        <x:v>Sagging</x:v>
      </x:c>
      <x:c r="F8" s="153"/>
      <x:c r="G8" s="153"/>
      <x:c r="H8" s="153"/>
      <x:c r="I8" s="153"/>
      <x:c r="J8" s="153"/>
      <x:c r="K8" s="112"/>
      <x:c r="L8" s="189" t="str">
        <x:v>Use this sheet to compare with hand calculations.</x:v>
      </x:c>
      <x:c r="M8" s="189"/>
      <x:c r="N8" s="189"/>
      <x:c r="O8" s="112"/>
      <x:c r="P8" s="112"/>
      <x:c r="Q8" s="112"/>
      <x:c r="R8" s="112"/>
      <x:c r="S8" s="112"/>
      <x:c r="T8" s="112"/>
      <x:c r="U8" s="112"/>
      <x:c r="V8" s="112"/>
      <x:c r="W8" s="112"/>
      <x:c r="X8" s="112"/>
      <x:c r="Y8" s="112"/>
      <x:c r="Z8" s="112"/>
    </x:row>
    <x:row r="9">
      <x:c r="A9" s="153"/>
      <x:c r="B9" s="153"/>
      <x:c r="C9" s="153"/>
      <x:c r="D9" s="202"/>
      <x:c r="E9" s="153"/>
      <x:c r="F9" s="153"/>
      <x:c r="G9" s="153"/>
      <x:c r="H9" s="153"/>
      <x:c r="I9" s="153"/>
      <x:c r="J9" s="153"/>
      <x:c r="K9" s="112"/>
      <x:c r="L9" s="112"/>
      <x:c r="M9" s="112"/>
      <x:c r="N9" s="112"/>
      <x:c r="O9" s="112"/>
      <x:c r="P9" s="112"/>
      <x:c r="Q9" s="112"/>
      <x:c r="R9" s="112"/>
      <x:c r="S9" s="112"/>
      <x:c r="T9" s="112"/>
      <x:c r="U9" s="112"/>
      <x:c r="V9" s="112"/>
      <x:c r="W9" s="112"/>
      <x:c r="X9" s="112"/>
      <x:c r="Y9" s="112"/>
      <x:c r="Z9" s="112"/>
    </x:row>
    <x:row r="10" ht="36" customHeight="1">
      <x:c r="A10" s="24" t="str">
        <x:v>Seg.</x:v>
      </x:c>
      <x:c r="B10" s="87" t="str">
        <x:v>x start [m]</x:v>
      </x:c>
      <x:c r="C10" s="87" t="str">
        <x:v>x end [m]</x:v>
      </x:c>
      <x:c r="D10" s="87" t="str">
        <x:v>dx [m]</x:v>
      </x:c>
      <x:c r="E10" s="87" t="str">
        <x:v>Weight w [kN/m]</x:v>
      </x:c>
      <x:c r="F10" s="87" t="str">
        <x:v>Buoyancy b [kN/m]</x:v>
      </x:c>
      <x:c r="G10" s="87" t="str">
        <x:v>Net q=w-b [kN/m]</x:v>
      </x:c>
      <x:c r="H10" s="87" t="str">
        <x:v>Segment force q*dx [kN]</x:v>
      </x:c>
      <x:c r="I10" s="87" t="str">
        <x:v>Cum. shear V [kN]</x:v>
      </x:c>
      <x:c r="J10" s="25" t="str">
        <x:v>Cum. moment M [kN*m]</x:v>
      </x:c>
      <x:c r="K10" s="112"/>
      <x:c r="L10" s="112"/>
      <x:c r="M10" s="18" t="str">
        <x:v>Parameter</x:v>
      </x:c>
      <x:c r="N10" s="18" t="str">
        <x:v>Value</x:v>
      </x:c>
      <x:c r="O10" s="112"/>
      <x:c r="P10" s="112"/>
      <x:c r="Q10" s="112"/>
      <x:c r="R10" s="112"/>
      <x:c r="S10" s="112"/>
      <x:c r="T10" s="112"/>
      <x:c r="U10" s="112"/>
      <x:c r="V10" s="112"/>
      <x:c r="W10" s="112"/>
      <x:c r="X10" s="112"/>
      <x:c r="Y10" s="112"/>
      <x:c r="Z10" s="112"/>
    </x:row>
    <x:row r="11">
      <x:c r="A11" s="203" t="n">
        <x:v>1</x:v>
      </x:c>
      <x:c r="B11" s="153" t="n">
        <x:v>0</x:v>
      </x:c>
      <x:c r="C11" s="153" t="n">
        <x:v>10</x:v>
      </x:c>
      <x:c r="D11" s="153" t="n">
        <x:f>C11-B11</x:f>
        <x:v>10</x:v>
      </x:c>
      <x:c r="E11" s="204" t="n">
        <x:f>2*$N$11</x:f>
        <x:v>160</x:v>
      </x:c>
      <x:c r="F11" s="153" t="n">
        <x:f>$E$5</x:f>
        <x:v>260</x:v>
      </x:c>
      <x:c r="G11" s="153" t="n">
        <x:f>E11-F11</x:f>
        <x:v>-100</x:v>
      </x:c>
      <x:c r="H11" s="153" t="n">
        <x:f>G11*D11</x:f>
        <x:v>-1000</x:v>
      </x:c>
      <x:c r="I11" s="153" t="n">
        <x:f>H11</x:f>
        <x:v>-1000</x:v>
      </x:c>
      <x:c r="J11" s="205" t="n">
        <x:f>0.5*G11*D11^2</x:f>
        <x:v>-5000</x:v>
      </x:c>
      <x:c r="K11" s="112"/>
      <x:c r="L11" s="112"/>
      <x:c r="M11" s="255" t="str">
        <x:v>p [kN/m]</x:v>
      </x:c>
      <x:c r="N11" s="256" t="n">
        <x:v>80</x:v>
      </x:c>
      <x:c r="O11" s="112"/>
      <x:c r="P11" s="112"/>
      <x:c r="Q11" s="112"/>
      <x:c r="R11" s="112"/>
      <x:c r="S11" s="112"/>
      <x:c r="T11" s="112"/>
      <x:c r="U11" s="112"/>
      <x:c r="V11" s="112"/>
      <x:c r="W11" s="112"/>
      <x:c r="X11" s="112"/>
      <x:c r="Y11" s="112"/>
      <x:c r="Z11" s="112"/>
    </x:row>
    <x:row r="12">
      <x:c r="A12" s="203" t="n">
        <x:v>2</x:v>
      </x:c>
      <x:c r="B12" s="153" t="n">
        <x:v>10</x:v>
      </x:c>
      <x:c r="C12" s="153" t="n">
        <x:v>20</x:v>
      </x:c>
      <x:c r="D12" s="153" t="n">
        <x:f>C12-B12</x:f>
        <x:v>10</x:v>
      </x:c>
      <x:c r="E12" s="204" t="n">
        <x:f>5*$N$11</x:f>
        <x:v>400</x:v>
      </x:c>
      <x:c r="F12" s="153" t="n">
        <x:f>$E$5</x:f>
        <x:v>260</x:v>
      </x:c>
      <x:c r="G12" s="153" t="n">
        <x:f>E12-F12</x:f>
        <x:v>140</x:v>
      </x:c>
      <x:c r="H12" s="153" t="n">
        <x:f>G12*D12</x:f>
        <x:v>1400</x:v>
      </x:c>
      <x:c r="I12" s="153" t="n">
        <x:f>I11+H12</x:f>
        <x:v>400</x:v>
      </x:c>
      <x:c r="J12" s="205" t="n">
        <x:f>J11+I11*D12+0.5*G12*D12^2</x:f>
        <x:v>-8000</x:v>
      </x:c>
      <x:c r="K12" s="112"/>
      <x:c r="L12" s="112"/>
      <x:c r="M12" s="112"/>
      <x:c r="N12" s="112"/>
      <x:c r="O12" s="112"/>
      <x:c r="P12" s="112"/>
      <x:c r="Q12" s="112"/>
      <x:c r="R12" s="112"/>
      <x:c r="S12" s="112"/>
      <x:c r="T12" s="112"/>
      <x:c r="U12" s="112"/>
      <x:c r="V12" s="112"/>
      <x:c r="W12" s="112"/>
      <x:c r="X12" s="112"/>
      <x:c r="Y12" s="112"/>
      <x:c r="Z12" s="112"/>
    </x:row>
    <x:row r="13">
      <x:c r="A13" s="203" t="n">
        <x:v>3</x:v>
      </x:c>
      <x:c r="B13" s="153" t="n">
        <x:v>20</x:v>
      </x:c>
      <x:c r="C13" s="153" t="n">
        <x:v>30</x:v>
      </x:c>
      <x:c r="D13" s="153" t="n">
        <x:f>C13-B13</x:f>
        <x:v>10</x:v>
      </x:c>
      <x:c r="E13" s="204" t="n">
        <x:f>4*$N$11</x:f>
        <x:v>320</x:v>
      </x:c>
      <x:c r="F13" s="153" t="n">
        <x:f>$E$5</x:f>
        <x:v>260</x:v>
      </x:c>
      <x:c r="G13" s="153" t="n">
        <x:f>E13-F13</x:f>
        <x:v>60</x:v>
      </x:c>
      <x:c r="H13" s="153" t="n">
        <x:f>G13*D13</x:f>
        <x:v>600</x:v>
      </x:c>
      <x:c r="I13" s="153" t="n">
        <x:f>I12+H13</x:f>
        <x:v>1000</x:v>
      </x:c>
      <x:c r="J13" s="205" t="n">
        <x:f>J12+I12*D13+0.5*G13*D13^2</x:f>
        <x:v>-1000</x:v>
      </x:c>
      <x:c r="K13" s="112"/>
      <x:c r="L13" s="112"/>
      <x:c r="M13" s="112"/>
      <x:c r="N13" s="112"/>
      <x:c r="O13" s="112"/>
      <x:c r="P13" s="112"/>
      <x:c r="Q13" s="112"/>
      <x:c r="R13" s="112"/>
      <x:c r="S13" s="112"/>
      <x:c r="T13" s="112"/>
      <x:c r="U13" s="112"/>
      <x:c r="V13" s="112"/>
      <x:c r="W13" s="112"/>
      <x:c r="X13" s="112"/>
      <x:c r="Y13" s="112"/>
      <x:c r="Z13" s="112"/>
    </x:row>
    <x:row r="14">
      <x:c r="A14" s="206" t="n">
        <x:v>4</x:v>
      </x:c>
      <x:c r="B14" s="207" t="n">
        <x:v>30</x:v>
      </x:c>
      <x:c r="C14" s="207" t="n">
        <x:v>40</x:v>
      </x:c>
      <x:c r="D14" s="207" t="n">
        <x:f>C14-B14</x:f>
        <x:v>10</x:v>
      </x:c>
      <x:c r="E14" s="208" t="n">
        <x:f>2*$N$11</x:f>
        <x:v>160</x:v>
      </x:c>
      <x:c r="F14" s="207" t="n">
        <x:f>$E$5</x:f>
        <x:v>260</x:v>
      </x:c>
      <x:c r="G14" s="207" t="n">
        <x:f>E14-F14</x:f>
        <x:v>-100</x:v>
      </x:c>
      <x:c r="H14" s="207" t="n">
        <x:f>G14*D14</x:f>
        <x:v>-1000</x:v>
      </x:c>
      <x:c r="I14" s="207" t="n">
        <x:f>I13+H14</x:f>
        <x:v>0</x:v>
      </x:c>
      <x:c r="J14" s="209" t="n">
        <x:f>J13+I13*D14+0.5*G14*D14^2</x:f>
        <x:v>4000</x:v>
      </x:c>
      <x:c r="K14" s="112"/>
      <x:c r="L14" s="112"/>
      <x:c r="M14" s="112"/>
      <x:c r="N14" s="112"/>
      <x:c r="O14" s="112"/>
      <x:c r="P14" s="112"/>
      <x:c r="Q14" s="112"/>
      <x:c r="R14" s="112"/>
      <x:c r="S14" s="112"/>
      <x:c r="T14" s="112"/>
      <x:c r="U14" s="112"/>
      <x:c r="V14" s="112"/>
      <x:c r="W14" s="112"/>
      <x:c r="X14" s="112"/>
      <x:c r="Y14" s="112"/>
      <x:c r="Z14" s="112"/>
    </x:row>
    <x:row r="15">
      <x:c r="A15" s="203"/>
      <x:c r="B15" s="153"/>
      <x:c r="C15" s="153"/>
      <x:c r="D15" s="153"/>
      <x:c r="E15" s="204"/>
      <x:c r="F15" s="153"/>
      <x:c r="G15" s="153"/>
      <x:c r="H15" s="153"/>
      <x:c r="I15" s="153"/>
      <x:c r="J15" s="205"/>
      <x:c r="K15" s="112"/>
      <x:c r="L15" s="112"/>
      <x:c r="M15" s="112"/>
      <x:c r="N15" s="112"/>
      <x:c r="O15" s="112"/>
      <x:c r="P15" s="112"/>
      <x:c r="Q15" s="112"/>
      <x:c r="R15" s="112"/>
      <x:c r="S15" s="112"/>
      <x:c r="T15" s="112"/>
      <x:c r="U15" s="112"/>
      <x:c r="V15" s="112"/>
      <x:c r="W15" s="112"/>
      <x:c r="X15" s="112"/>
      <x:c r="Y15" s="112"/>
      <x:c r="Z15" s="112"/>
    </x:row>
    <x:row r="16">
      <x:c r="A16" s="203"/>
      <x:c r="B16" s="153"/>
      <x:c r="C16" s="153"/>
      <x:c r="D16" s="153"/>
      <x:c r="E16" s="204"/>
      <x:c r="F16" s="153"/>
      <x:c r="G16" s="153"/>
      <x:c r="H16" s="153"/>
      <x:c r="I16" s="153"/>
      <x:c r="J16" s="205"/>
      <x:c r="K16" s="112"/>
      <x:c r="L16" s="112"/>
      <x:c r="M16" s="112"/>
      <x:c r="N16" s="112"/>
      <x:c r="O16" s="112"/>
      <x:c r="P16" s="112"/>
      <x:c r="Q16" s="112"/>
      <x:c r="R16" s="112"/>
      <x:c r="S16" s="112"/>
      <x:c r="T16" s="112"/>
      <x:c r="U16" s="112"/>
      <x:c r="V16" s="112"/>
      <x:c r="W16" s="112"/>
      <x:c r="X16" s="112"/>
      <x:c r="Y16" s="112"/>
      <x:c r="Z16" s="112"/>
    </x:row>
    <x:row r="17">
      <x:c r="A17" s="203"/>
      <x:c r="B17" s="153"/>
      <x:c r="C17" s="153"/>
      <x:c r="D17" s="153"/>
      <x:c r="E17" s="204"/>
      <x:c r="F17" s="153"/>
      <x:c r="G17" s="153"/>
      <x:c r="H17" s="153"/>
      <x:c r="I17" s="153"/>
      <x:c r="J17" s="205"/>
      <x:c r="K17" s="112"/>
      <x:c r="L17" s="112"/>
      <x:c r="M17" s="112"/>
      <x:c r="N17" s="112"/>
      <x:c r="O17" s="112"/>
      <x:c r="P17" s="112"/>
      <x:c r="Q17" s="112"/>
      <x:c r="R17" s="112"/>
      <x:c r="S17" s="112"/>
      <x:c r="T17" s="112"/>
      <x:c r="U17" s="112"/>
      <x:c r="V17" s="112"/>
      <x:c r="W17" s="112"/>
      <x:c r="X17" s="112"/>
      <x:c r="Y17" s="112"/>
      <x:c r="Z17" s="112"/>
    </x:row>
    <x:row r="18">
      <x:c r="A18" s="203"/>
      <x:c r="B18" s="153"/>
      <x:c r="C18" s="153"/>
      <x:c r="D18" s="153"/>
      <x:c r="E18" s="204"/>
      <x:c r="F18" s="153"/>
      <x:c r="G18" s="153"/>
      <x:c r="H18" s="153"/>
      <x:c r="I18" s="153"/>
      <x:c r="J18" s="205"/>
      <x:c r="K18" s="112"/>
      <x:c r="L18" s="112"/>
      <x:c r="M18" s="112"/>
      <x:c r="N18" s="112"/>
      <x:c r="O18" s="112"/>
      <x:c r="P18" s="112"/>
      <x:c r="Q18" s="112"/>
      <x:c r="R18" s="112"/>
      <x:c r="S18" s="112"/>
      <x:c r="T18" s="112"/>
      <x:c r="U18" s="112"/>
      <x:c r="V18" s="112"/>
      <x:c r="W18" s="112"/>
      <x:c r="X18" s="112"/>
      <x:c r="Y18" s="112"/>
      <x:c r="Z18" s="112"/>
    </x:row>
    <x:row r="19">
      <x:c r="A19" s="203"/>
      <x:c r="B19" s="153"/>
      <x:c r="C19" s="153"/>
      <x:c r="D19" s="153"/>
      <x:c r="E19" s="204"/>
      <x:c r="F19" s="153"/>
      <x:c r="G19" s="153"/>
      <x:c r="H19" s="153"/>
      <x:c r="I19" s="153"/>
      <x:c r="J19" s="205"/>
      <x:c r="K19" s="112"/>
      <x:c r="L19" s="112"/>
      <x:c r="M19" s="112"/>
      <x:c r="N19" s="112"/>
      <x:c r="O19" s="112"/>
      <x:c r="P19" s="112"/>
      <x:c r="Q19" s="112"/>
      <x:c r="R19" s="112"/>
      <x:c r="S19" s="112"/>
      <x:c r="T19" s="112"/>
      <x:c r="U19" s="112"/>
      <x:c r="V19" s="112"/>
      <x:c r="W19" s="112"/>
      <x:c r="X19" s="112"/>
      <x:c r="Y19" s="112"/>
      <x:c r="Z19" s="112"/>
    </x:row>
    <x:row r="20">
      <x:c r="A20" s="203"/>
      <x:c r="B20" s="153"/>
      <x:c r="C20" s="153"/>
      <x:c r="D20" s="153"/>
      <x:c r="E20" s="204"/>
      <x:c r="F20" s="153"/>
      <x:c r="G20" s="153"/>
      <x:c r="H20" s="153"/>
      <x:c r="I20" s="153"/>
      <x:c r="J20" s="205"/>
      <x:c r="K20" s="112"/>
      <x:c r="L20" s="112"/>
      <x:c r="M20" s="112"/>
      <x:c r="N20" s="112"/>
      <x:c r="O20" s="112"/>
      <x:c r="P20" s="112"/>
      <x:c r="Q20" s="112"/>
      <x:c r="R20" s="112"/>
      <x:c r="S20" s="112"/>
      <x:c r="T20" s="112"/>
      <x:c r="U20" s="112"/>
      <x:c r="V20" s="112"/>
      <x:c r="W20" s="112"/>
      <x:c r="X20" s="112"/>
      <x:c r="Y20" s="112"/>
      <x:c r="Z20" s="112"/>
    </x:row>
    <x:row r="21">
      <x:c r="A21" s="203"/>
      <x:c r="B21" s="153"/>
      <x:c r="C21" s="153"/>
      <x:c r="D21" s="153"/>
      <x:c r="E21" s="204"/>
      <x:c r="F21" s="153"/>
      <x:c r="G21" s="153"/>
      <x:c r="H21" s="153"/>
      <x:c r="I21" s="153"/>
      <x:c r="J21" s="205"/>
      <x:c r="K21" s="112"/>
      <x:c r="L21" s="112"/>
      <x:c r="M21" s="112"/>
      <x:c r="N21" s="112"/>
      <x:c r="O21" s="112"/>
      <x:c r="P21" s="112"/>
      <x:c r="Q21" s="112"/>
      <x:c r="R21" s="112"/>
      <x:c r="S21" s="112"/>
      <x:c r="T21" s="112"/>
      <x:c r="U21" s="112"/>
      <x:c r="V21" s="112"/>
      <x:c r="W21" s="112"/>
      <x:c r="X21" s="112"/>
      <x:c r="Y21" s="112"/>
      <x:c r="Z21" s="112"/>
    </x:row>
    <x:row r="22">
      <x:c r="A22" s="203"/>
      <x:c r="B22" s="153"/>
      <x:c r="C22" s="153"/>
      <x:c r="D22" s="153"/>
      <x:c r="E22" s="204"/>
      <x:c r="F22" s="153"/>
      <x:c r="G22" s="153"/>
      <x:c r="H22" s="153"/>
      <x:c r="I22" s="153"/>
      <x:c r="J22" s="205"/>
      <x:c r="K22" s="112"/>
      <x:c r="L22" s="112"/>
      <x:c r="M22" s="112"/>
      <x:c r="N22" s="112"/>
      <x:c r="O22" s="112"/>
      <x:c r="P22" s="112"/>
      <x:c r="Q22" s="112"/>
      <x:c r="R22" s="112"/>
      <x:c r="S22" s="112"/>
      <x:c r="T22" s="112"/>
      <x:c r="U22" s="112"/>
      <x:c r="V22" s="112"/>
      <x:c r="W22" s="112"/>
      <x:c r="X22" s="112"/>
      <x:c r="Y22" s="112"/>
      <x:c r="Z22" s="112"/>
    </x:row>
    <x:row r="23">
      <x:c r="A23" s="203"/>
      <x:c r="B23" s="153"/>
      <x:c r="C23" s="153"/>
      <x:c r="D23" s="153"/>
      <x:c r="E23" s="204"/>
      <x:c r="F23" s="153"/>
      <x:c r="G23" s="153"/>
      <x:c r="H23" s="153"/>
      <x:c r="I23" s="153"/>
      <x:c r="J23" s="205"/>
      <x:c r="K23" s="112"/>
      <x:c r="L23" s="112"/>
      <x:c r="M23" s="112"/>
      <x:c r="N23" s="112"/>
      <x:c r="O23" s="112"/>
      <x:c r="P23" s="112"/>
      <x:c r="Q23" s="112"/>
      <x:c r="R23" s="112"/>
      <x:c r="S23" s="112"/>
      <x:c r="T23" s="112"/>
      <x:c r="U23" s="112"/>
      <x:c r="V23" s="112"/>
      <x:c r="W23" s="112"/>
      <x:c r="X23" s="112"/>
      <x:c r="Y23" s="112"/>
      <x:c r="Z23" s="112"/>
    </x:row>
    <x:row r="24">
      <x:c r="A24" s="203"/>
      <x:c r="B24" s="153"/>
      <x:c r="C24" s="153"/>
      <x:c r="D24" s="153"/>
      <x:c r="E24" s="204"/>
      <x:c r="F24" s="153"/>
      <x:c r="G24" s="153"/>
      <x:c r="H24" s="153"/>
      <x:c r="I24" s="153"/>
      <x:c r="J24" s="205"/>
      <x:c r="K24" s="112"/>
      <x:c r="L24" s="112"/>
      <x:c r="M24" s="112"/>
      <x:c r="N24" s="112"/>
      <x:c r="O24" s="112"/>
      <x:c r="P24" s="112"/>
      <x:c r="Q24" s="112"/>
      <x:c r="R24" s="112"/>
      <x:c r="S24" s="112"/>
      <x:c r="T24" s="112"/>
      <x:c r="U24" s="112"/>
      <x:c r="V24" s="112"/>
      <x:c r="W24" s="112"/>
      <x:c r="X24" s="112"/>
      <x:c r="Y24" s="112"/>
      <x:c r="Z24" s="112"/>
    </x:row>
    <x:row r="25">
      <x:c r="A25" s="203"/>
      <x:c r="B25" s="153"/>
      <x:c r="C25" s="153"/>
      <x:c r="D25" s="153"/>
      <x:c r="E25" s="204"/>
      <x:c r="F25" s="153"/>
      <x:c r="G25" s="153"/>
      <x:c r="H25" s="153"/>
      <x:c r="I25" s="153"/>
      <x:c r="J25" s="205"/>
      <x:c r="K25" s="112"/>
      <x:c r="L25" s="112"/>
      <x:c r="M25" s="112"/>
      <x:c r="N25" s="112"/>
      <x:c r="O25" s="112"/>
      <x:c r="P25" s="112"/>
      <x:c r="Q25" s="112"/>
      <x:c r="R25" s="112"/>
      <x:c r="S25" s="112"/>
      <x:c r="T25" s="112"/>
      <x:c r="U25" s="112"/>
      <x:c r="V25" s="112"/>
      <x:c r="W25" s="112"/>
      <x:c r="X25" s="112"/>
      <x:c r="Y25" s="112"/>
      <x:c r="Z25" s="112"/>
    </x:row>
    <x:row r="26">
      <x:c r="A26" s="203"/>
      <x:c r="B26" s="153"/>
      <x:c r="C26" s="153"/>
      <x:c r="D26" s="153"/>
      <x:c r="E26" s="204"/>
      <x:c r="F26" s="153"/>
      <x:c r="G26" s="153"/>
      <x:c r="H26" s="153"/>
      <x:c r="I26" s="153"/>
      <x:c r="J26" s="205"/>
      <x:c r="K26" s="112"/>
      <x:c r="L26" s="112"/>
      <x:c r="M26" s="112"/>
      <x:c r="N26" s="112"/>
      <x:c r="O26" s="112"/>
      <x:c r="P26" s="112"/>
      <x:c r="Q26" s="112"/>
      <x:c r="R26" s="112"/>
      <x:c r="S26" s="112"/>
      <x:c r="T26" s="112"/>
      <x:c r="U26" s="112"/>
      <x:c r="V26" s="112"/>
      <x:c r="W26" s="112"/>
      <x:c r="X26" s="112"/>
      <x:c r="Y26" s="112"/>
      <x:c r="Z26" s="112"/>
    </x:row>
    <x:row r="27">
      <x:c r="A27" s="203"/>
      <x:c r="B27" s="153"/>
      <x:c r="C27" s="153"/>
      <x:c r="D27" s="153"/>
      <x:c r="E27" s="204"/>
      <x:c r="F27" s="153"/>
      <x:c r="G27" s="153"/>
      <x:c r="H27" s="153"/>
      <x:c r="I27" s="153"/>
      <x:c r="J27" s="205"/>
      <x:c r="K27" s="112"/>
      <x:c r="L27" s="112"/>
      <x:c r="M27" s="112"/>
      <x:c r="N27" s="112"/>
      <x:c r="O27" s="112"/>
      <x:c r="P27" s="112"/>
      <x:c r="Q27" s="112"/>
      <x:c r="R27" s="112"/>
      <x:c r="S27" s="112"/>
      <x:c r="T27" s="112"/>
      <x:c r="U27" s="112"/>
      <x:c r="V27" s="112"/>
      <x:c r="W27" s="112"/>
      <x:c r="X27" s="112"/>
      <x:c r="Y27" s="112"/>
      <x:c r="Z27" s="112"/>
    </x:row>
    <x:row r="28">
      <x:c r="A28" s="203"/>
      <x:c r="B28" s="153"/>
      <x:c r="C28" s="153"/>
      <x:c r="D28" s="153"/>
      <x:c r="E28" s="204"/>
      <x:c r="F28" s="153"/>
      <x:c r="G28" s="153"/>
      <x:c r="H28" s="153"/>
      <x:c r="I28" s="153"/>
      <x:c r="J28" s="205"/>
      <x:c r="K28" s="112"/>
      <x:c r="L28" s="112"/>
      <x:c r="M28" s="112"/>
      <x:c r="N28" s="112"/>
      <x:c r="O28" s="112"/>
      <x:c r="P28" s="112"/>
      <x:c r="Q28" s="112"/>
      <x:c r="R28" s="112"/>
      <x:c r="S28" s="112"/>
      <x:c r="T28" s="112"/>
      <x:c r="U28" s="112"/>
      <x:c r="V28" s="112"/>
      <x:c r="W28" s="112"/>
      <x:c r="X28" s="112"/>
      <x:c r="Y28" s="112"/>
      <x:c r="Z28" s="112"/>
    </x:row>
    <x:row r="29">
      <x:c r="A29" s="203"/>
      <x:c r="B29" s="153"/>
      <x:c r="C29" s="153"/>
      <x:c r="D29" s="153"/>
      <x:c r="E29" s="204"/>
      <x:c r="F29" s="153"/>
      <x:c r="G29" s="153"/>
      <x:c r="H29" s="153"/>
      <x:c r="I29" s="153"/>
      <x:c r="J29" s="205"/>
      <x:c r="K29" s="112"/>
      <x:c r="L29" s="112"/>
      <x:c r="M29" s="112"/>
      <x:c r="N29" s="112"/>
      <x:c r="O29" s="112"/>
      <x:c r="P29" s="112"/>
      <x:c r="Q29" s="112"/>
      <x:c r="R29" s="112"/>
      <x:c r="S29" s="112"/>
      <x:c r="T29" s="112"/>
      <x:c r="U29" s="112"/>
      <x:c r="V29" s="112"/>
      <x:c r="W29" s="112"/>
      <x:c r="X29" s="112"/>
      <x:c r="Y29" s="112"/>
      <x:c r="Z29" s="112"/>
    </x:row>
    <x:row r="30">
      <x:c r="A30" s="206"/>
      <x:c r="B30" s="207"/>
      <x:c r="C30" s="207"/>
      <x:c r="D30" s="207"/>
      <x:c r="E30" s="208"/>
      <x:c r="F30" s="207"/>
      <x:c r="G30" s="207"/>
      <x:c r="H30" s="207"/>
      <x:c r="I30" s="207"/>
      <x:c r="J30" s="209"/>
      <x:c r="K30" s="112"/>
      <x:c r="L30" s="112"/>
      <x:c r="M30" s="112"/>
      <x:c r="N30" s="112"/>
      <x:c r="O30" s="112"/>
      <x:c r="P30" s="112"/>
      <x:c r="Q30" s="112"/>
      <x:c r="R30" s="112"/>
      <x:c r="S30" s="112"/>
      <x:c r="T30" s="112"/>
      <x:c r="U30" s="112"/>
      <x:c r="V30" s="112"/>
      <x:c r="W30" s="112"/>
      <x:c r="X30" s="112"/>
      <x:c r="Y30" s="112"/>
      <x:c r="Z30" s="112"/>
    </x:row>
    <x:row r="31">
      <x:c r="A31" s="153"/>
      <x:c r="B31" s="153"/>
      <x:c r="C31" s="153"/>
      <x:c r="D31" s="153"/>
      <x:c r="E31" s="153"/>
      <x:c r="F31" s="153"/>
      <x:c r="G31" s="153"/>
      <x:c r="H31" s="153"/>
      <x:c r="I31" s="153"/>
      <x:c r="J31" s="153"/>
      <x:c r="K31" s="112"/>
      <x:c r="L31" s="112"/>
      <x:c r="M31" s="112"/>
      <x:c r="N31" s="112"/>
      <x:c r="O31" s="112"/>
      <x:c r="P31" s="112"/>
      <x:c r="Q31" s="112"/>
      <x:c r="R31" s="112"/>
      <x:c r="S31" s="112"/>
      <x:c r="T31" s="112"/>
      <x:c r="U31" s="112"/>
      <x:c r="V31" s="112"/>
      <x:c r="W31" s="112"/>
      <x:c r="X31" s="112"/>
      <x:c r="Y31" s="112"/>
      <x:c r="Z31" s="112"/>
    </x:row>
    <x:row r="32">
      <x:c r="A32" s="153"/>
      <x:c r="B32" s="153"/>
      <x:c r="C32" s="153"/>
      <x:c r="D32" s="153"/>
      <x:c r="E32" s="153"/>
      <x:c r="F32" s="153"/>
      <x:c r="G32" s="153"/>
      <x:c r="H32" s="153"/>
      <x:c r="I32" s="153"/>
      <x:c r="J32" s="153"/>
      <x:c r="K32" s="112"/>
      <x:c r="L32" s="112"/>
      <x:c r="M32" s="112"/>
      <x:c r="N32" s="112"/>
      <x:c r="O32" s="112"/>
      <x:c r="P32" s="112"/>
      <x:c r="Q32" s="112"/>
      <x:c r="R32" s="112"/>
      <x:c r="S32" s="112"/>
      <x:c r="T32" s="112"/>
      <x:c r="U32" s="112"/>
      <x:c r="V32" s="112"/>
      <x:c r="W32" s="112"/>
      <x:c r="X32" s="112"/>
      <x:c r="Y32" s="112"/>
      <x:c r="Z32" s="112"/>
    </x:row>
    <x:row r="33">
      <x:c r="A33" s="153"/>
      <x:c r="B33" s="153"/>
      <x:c r="C33" s="153"/>
      <x:c r="D33" s="153"/>
      <x:c r="E33" s="153"/>
      <x:c r="F33" s="153"/>
      <x:c r="G33" s="153"/>
      <x:c r="H33" s="153"/>
      <x:c r="I33" s="153"/>
      <x:c r="J33" s="153"/>
      <x:c r="K33" s="112"/>
      <x:c r="L33" s="112"/>
      <x:c r="M33" s="112"/>
      <x:c r="N33" s="112"/>
      <x:c r="O33" s="112"/>
      <x:c r="P33" s="112"/>
      <x:c r="Q33" s="112"/>
      <x:c r="R33" s="112"/>
      <x:c r="S33" s="112"/>
      <x:c r="T33" s="112"/>
      <x:c r="U33" s="112"/>
      <x:c r="V33" s="112"/>
      <x:c r="W33" s="112"/>
      <x:c r="X33" s="112"/>
      <x:c r="Y33" s="112"/>
      <x:c r="Z33" s="112"/>
    </x:row>
    <x:row r="34">
      <x:c r="A34" s="153"/>
      <x:c r="B34" s="153"/>
      <x:c r="C34" s="153"/>
      <x:c r="D34" s="153"/>
      <x:c r="E34" s="153"/>
      <x:c r="F34" s="153"/>
      <x:c r="G34" s="153"/>
      <x:c r="H34" s="153"/>
      <x:c r="I34" s="153"/>
      <x:c r="J34" s="153"/>
      <x:c r="K34" s="112"/>
      <x:c r="L34" s="112"/>
      <x:c r="M34" s="112"/>
      <x:c r="N34" s="112"/>
      <x:c r="O34" s="112"/>
      <x:c r="P34" s="112"/>
      <x:c r="Q34" s="112"/>
      <x:c r="R34" s="112"/>
      <x:c r="S34" s="112"/>
      <x:c r="T34" s="112"/>
      <x:c r="U34" s="112"/>
      <x:c r="V34" s="112"/>
      <x:c r="W34" s="112"/>
      <x:c r="X34" s="112"/>
      <x:c r="Y34" s="112"/>
      <x:c r="Z34" s="112"/>
    </x:row>
    <x:row r="35">
      <x:c r="A35" s="153"/>
      <x:c r="B35" s="153"/>
      <x:c r="C35" s="153"/>
      <x:c r="D35" s="153"/>
      <x:c r="E35" s="153"/>
      <x:c r="F35" s="153"/>
      <x:c r="G35" s="153"/>
      <x:c r="H35" s="153"/>
      <x:c r="I35" s="153"/>
      <x:c r="J35" s="153"/>
      <x:c r="K35" s="112"/>
      <x:c r="L35" s="112"/>
      <x:c r="M35" s="112"/>
      <x:c r="N35" s="112"/>
      <x:c r="O35" s="112"/>
      <x:c r="P35" s="112"/>
      <x:c r="Q35" s="112"/>
      <x:c r="R35" s="112"/>
      <x:c r="S35" s="112"/>
      <x:c r="T35" s="112"/>
      <x:c r="U35" s="112"/>
      <x:c r="V35" s="112"/>
      <x:c r="W35" s="112"/>
      <x:c r="X35" s="112"/>
      <x:c r="Y35" s="112"/>
      <x:c r="Z35" s="112"/>
    </x:row>
    <x:row r="36">
      <x:c r="A36" s="112"/>
      <x:c r="B36" s="112"/>
      <x:c r="C36" s="112"/>
      <x:c r="D36" s="112"/>
      <x:c r="E36" s="112"/>
      <x:c r="F36" s="112"/>
      <x:c r="G36" s="112"/>
      <x:c r="H36" s="112"/>
      <x:c r="I36" s="112"/>
      <x:c r="J36" s="112"/>
      <x:c r="K36" s="112"/>
      <x:c r="L36" s="112"/>
      <x:c r="M36" s="112"/>
      <x:c r="N36" s="112"/>
      <x:c r="O36" s="112"/>
      <x:c r="P36" s="112"/>
      <x:c r="Q36" s="112"/>
      <x:c r="R36" s="112"/>
      <x:c r="S36" s="112"/>
      <x:c r="T36" s="112"/>
      <x:c r="U36" s="112"/>
      <x:c r="V36" s="112"/>
      <x:c r="W36" s="112"/>
      <x:c r="X36" s="112"/>
      <x:c r="Y36" s="112"/>
      <x:c r="Z36" s="112"/>
    </x:row>
    <x:row r="37">
      <x:c r="A37" s="112"/>
      <x:c r="B37" s="112"/>
      <x:c r="C37" s="112"/>
      <x:c r="D37" s="112"/>
      <x:c r="E37" s="112"/>
      <x:c r="F37" s="112"/>
      <x:c r="G37" s="112"/>
      <x:c r="H37" s="112"/>
      <x:c r="I37" s="112"/>
      <x:c r="J37" s="112"/>
      <x:c r="K37" s="112"/>
      <x:c r="L37" s="112"/>
      <x:c r="M37" s="112"/>
      <x:c r="N37" s="112"/>
      <x:c r="O37" s="112"/>
      <x:c r="P37" s="112"/>
      <x:c r="Q37" s="112"/>
      <x:c r="R37" s="112"/>
      <x:c r="S37" s="112"/>
      <x:c r="T37" s="112"/>
      <x:c r="U37" s="112"/>
      <x:c r="V37" s="112"/>
      <x:c r="W37" s="112"/>
      <x:c r="X37" s="112"/>
      <x:c r="Y37" s="112"/>
      <x:c r="Z37" s="112"/>
    </x:row>
    <x:row r="38">
      <x:c r="A38" s="112"/>
      <x:c r="B38" s="112"/>
      <x:c r="C38" s="112"/>
      <x:c r="D38" s="112"/>
      <x:c r="E38" s="112"/>
      <x:c r="F38" s="112"/>
      <x:c r="G38" s="112"/>
      <x:c r="H38" s="112"/>
      <x:c r="I38" s="112"/>
      <x:c r="J38" s="112"/>
      <x:c r="K38" s="112"/>
      <x:c r="L38" s="112"/>
      <x:c r="M38" s="112"/>
      <x:c r="N38" s="112"/>
      <x:c r="O38" s="112"/>
      <x:c r="P38" s="112"/>
      <x:c r="Q38" s="112"/>
      <x:c r="R38" s="112"/>
      <x:c r="S38" s="112"/>
      <x:c r="T38" s="112"/>
      <x:c r="U38" s="112"/>
      <x:c r="V38" s="112"/>
      <x:c r="W38" s="112"/>
      <x:c r="X38" s="112"/>
      <x:c r="Y38" s="112"/>
      <x:c r="Z38" s="112"/>
    </x:row>
    <x:row r="39">
      <x:c r="A39" s="112"/>
      <x:c r="B39" s="112"/>
      <x:c r="C39" s="112"/>
      <x:c r="D39" s="112"/>
      <x:c r="E39" s="112"/>
      <x:c r="F39" s="112"/>
      <x:c r="G39" s="112"/>
      <x:c r="H39" s="112"/>
      <x:c r="I39" s="112"/>
      <x:c r="J39" s="112"/>
      <x:c r="K39" s="112"/>
      <x:c r="L39" s="112"/>
      <x:c r="M39" s="112"/>
      <x:c r="N39" s="112"/>
      <x:c r="O39" s="112"/>
      <x:c r="P39" s="112"/>
      <x:c r="Q39" s="112"/>
      <x:c r="R39" s="112"/>
      <x:c r="S39" s="112"/>
      <x:c r="T39" s="112"/>
      <x:c r="U39" s="112"/>
      <x:c r="V39" s="112"/>
      <x:c r="W39" s="112"/>
      <x:c r="X39" s="112"/>
      <x:c r="Y39" s="112"/>
      <x:c r="Z39" s="112"/>
    </x:row>
    <x:row r="40">
      <x:c r="A40" s="112"/>
      <x:c r="B40" s="112"/>
      <x:c r="C40" s="112"/>
      <x:c r="D40" s="112"/>
      <x:c r="E40" s="112"/>
      <x:c r="F40" s="112"/>
      <x:c r="G40" s="112"/>
      <x:c r="H40" s="112"/>
      <x:c r="I40" s="112"/>
      <x:c r="J40" s="112"/>
      <x:c r="K40" s="112"/>
      <x:c r="L40" s="112"/>
      <x:c r="M40" s="112"/>
      <x:c r="N40" s="112"/>
      <x:c r="O40" s="112"/>
      <x:c r="P40" s="112"/>
      <x:c r="Q40" s="112"/>
      <x:c r="R40" s="112"/>
      <x:c r="S40" s="112"/>
      <x:c r="T40" s="112"/>
      <x:c r="U40" s="112"/>
      <x:c r="V40" s="112"/>
      <x:c r="W40" s="112"/>
      <x:c r="X40" s="112"/>
      <x:c r="Y40" s="112"/>
      <x:c r="Z40" s="112"/>
    </x:row>
  </x:sheetData>
  <x:mergeCells>
    <x:mergeCell ref="A1:J1"/>
    <x:mergeCell ref="A3:B3"/>
    <x:mergeCell ref="D3:E3"/>
    <x:mergeCell ref="L3:N3"/>
  </x:mergeCells>
  <x:pageMargins left="0.7" right="0.7" top="0.75" bottom="0.75" header="0.3" footer="0.3"/>
</x:worksheet>
</file>