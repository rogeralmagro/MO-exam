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EXAM PREP/"/>
    </mc:Choice>
  </mc:AlternateContent>
  <xr:revisionPtr revIDLastSave="0" documentId="13_ncr:1_{0B2D06D8-F1F2-AB42-9091-625C01A6D47A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ReadMe" sheetId="1" r:id="rId1"/>
    <sheet name="Hs_from_sorted" sheetId="2" r:id="rId2"/>
    <sheet name="Hs_from_spectrum" sheetId="3" r:id="rId3"/>
    <sheet name="Response_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D21" i="4"/>
  <c r="F21" i="4" s="1"/>
  <c r="G21" i="4" s="1"/>
  <c r="F20" i="4"/>
  <c r="G20" i="4" s="1"/>
  <c r="E20" i="4"/>
  <c r="D20" i="4"/>
  <c r="F19" i="4"/>
  <c r="E19" i="4"/>
  <c r="D19" i="4"/>
  <c r="E18" i="4"/>
  <c r="D18" i="4"/>
  <c r="F18" i="4" s="1"/>
  <c r="G18" i="4" s="1"/>
  <c r="F17" i="4"/>
  <c r="E17" i="4"/>
  <c r="D17" i="4"/>
  <c r="E16" i="4"/>
  <c r="D16" i="4"/>
  <c r="F16" i="4" s="1"/>
  <c r="E15" i="4"/>
  <c r="D15" i="4"/>
  <c r="F15" i="4" s="1"/>
  <c r="G15" i="4" s="1"/>
  <c r="F14" i="4"/>
  <c r="G14" i="4" s="1"/>
  <c r="E14" i="4"/>
  <c r="D14" i="4"/>
  <c r="E13" i="4"/>
  <c r="D13" i="4"/>
  <c r="F13" i="4" s="1"/>
  <c r="G13" i="4" s="1"/>
  <c r="F12" i="4"/>
  <c r="E12" i="4"/>
  <c r="D12" i="4"/>
  <c r="E11" i="4"/>
  <c r="D11" i="4"/>
  <c r="F11" i="4" s="1"/>
  <c r="G11" i="4" s="1"/>
  <c r="E10" i="4"/>
  <c r="B3" i="4" s="1"/>
  <c r="D3" i="4" s="1"/>
  <c r="D10" i="4"/>
  <c r="F10" i="4" s="1"/>
  <c r="G10" i="4" s="1"/>
  <c r="F9" i="4"/>
  <c r="G9" i="4" s="1"/>
  <c r="E9" i="4"/>
  <c r="D9" i="4"/>
  <c r="E8" i="4"/>
  <c r="D8" i="4"/>
  <c r="F8" i="4" s="1"/>
  <c r="G8" i="4" s="1"/>
  <c r="F7" i="4"/>
  <c r="G7" i="4" s="1"/>
  <c r="E7" i="4"/>
  <c r="D7" i="4"/>
  <c r="F6" i="4"/>
  <c r="D6" i="4"/>
  <c r="D20" i="3"/>
  <c r="C20" i="3"/>
  <c r="D19" i="3"/>
  <c r="C19" i="3"/>
  <c r="C18" i="3"/>
  <c r="D18" i="3" s="1"/>
  <c r="C17" i="3"/>
  <c r="D17" i="3" s="1"/>
  <c r="D16" i="3"/>
  <c r="C16" i="3"/>
  <c r="C15" i="3"/>
  <c r="D15" i="3" s="1"/>
  <c r="C14" i="3"/>
  <c r="D14" i="3" s="1"/>
  <c r="C13" i="3"/>
  <c r="D13" i="3" s="1"/>
  <c r="C12" i="3"/>
  <c r="D12" i="3" s="1"/>
  <c r="C11" i="3"/>
  <c r="D11" i="3" s="1"/>
  <c r="D10" i="3"/>
  <c r="C10" i="3"/>
  <c r="D9" i="3"/>
  <c r="C9" i="3"/>
  <c r="C8" i="3"/>
  <c r="D8" i="3" s="1"/>
  <c r="C7" i="3"/>
  <c r="D7" i="3" s="1"/>
  <c r="E5" i="2"/>
  <c r="B5" i="2"/>
  <c r="E4" i="2"/>
  <c r="B4" i="2"/>
  <c r="B3" i="2"/>
  <c r="G19" i="4" l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B3" i="3"/>
  <c r="E3" i="3" s="1"/>
  <c r="G16" i="4"/>
  <c r="G12" i="4"/>
  <c r="F3" i="4" s="1"/>
  <c r="G4" i="4" s="1"/>
  <c r="G17" i="4"/>
</calcChain>
</file>

<file path=xl/sharedStrings.xml><?xml version="1.0" encoding="utf-8"?>
<sst xmlns="http://schemas.openxmlformats.org/spreadsheetml/2006/main" count="51" uniqueCount="50">
  <si>
    <t>Hs / H1/3 workbook</t>
  </si>
  <si>
    <t>What it does</t>
  </si>
  <si>
    <t>1) Hs or H1/3 from sorted individual wave heights</t>
  </si>
  <si>
    <t>2) T1/3 from periods corresponding to the largest one-third waves</t>
  </si>
  <si>
    <t>3) Hs from spectrum via m0 = ∫S(ω)dω and Hs = 4*sqrt(m0)</t>
  </si>
  <si>
    <t>4) Response spectrum via SR(ω)=Y(ω)^2 Sζ(ω)</t>
  </si>
  <si>
    <t>5) Significant response amplitude z1/3 = 2*sqrt(m0R)</t>
  </si>
  <si>
    <t>Sheets</t>
  </si>
  <si>
    <t>Hs_from_sorted</t>
  </si>
  <si>
    <t>Enter wave heights H and periods T already sorted by decreasing H</t>
  </si>
  <si>
    <t>Hs_from_spectrum</t>
  </si>
  <si>
    <t>Enter ω and S(ω); m0 and Hs are computed automatically</t>
  </si>
  <si>
    <t>Response_example</t>
  </si>
  <si>
    <t>Semi-submersible example from class with Y(ω), Sζ(ω), SR(ω), m0R and z1/3</t>
  </si>
  <si>
    <t>Note</t>
  </si>
  <si>
    <t>Yellow cells = editable inputs</t>
  </si>
  <si>
    <t>Green cells = calculated results</t>
  </si>
  <si>
    <t>Hs / H1/3 from sorted waves</t>
  </si>
  <si>
    <t>Enter H and corresponding T already sorted. This sheet is pre-set for the 15-wave class example, so H1/3 and T1/3 use the first 5 rows.</t>
  </si>
  <si>
    <t>Number of waves, N (example)</t>
  </si>
  <si>
    <t>Top one-third count (example)</t>
  </si>
  <si>
    <t>Hmax [m]</t>
  </si>
  <si>
    <t>Hmean [m]</t>
  </si>
  <si>
    <t>H1/3 or Hs [m]</t>
  </si>
  <si>
    <t>T1/3 [s]</t>
  </si>
  <si>
    <t>rank</t>
  </si>
  <si>
    <t>H [m]</t>
  </si>
  <si>
    <t>T [s]</t>
  </si>
  <si>
    <t>Wave No.</t>
  </si>
  <si>
    <t>Hs from spectrum S(ω)</t>
  </si>
  <si>
    <t>Enter ω and S(ω). Numerical integration uses the trapezoidal rule between each pair of points.</t>
  </si>
  <si>
    <t>m0 [m^2]</t>
  </si>
  <si>
    <t>Hs = 4*SQRT(m0) [m]</t>
  </si>
  <si>
    <t>ω [rad/s]</t>
  </si>
  <si>
    <t>S(ω) [m^2 s]</t>
  </si>
  <si>
    <t>Δω</t>
  </si>
  <si>
    <t>segment area</t>
  </si>
  <si>
    <t>cum. area</t>
  </si>
  <si>
    <t>Response spectrum example: semi-submersible heave</t>
  </si>
  <si>
    <t>Editable blue/yellow part from class example. SR(ω)=Y(ω)^2*Sζ(ω). m0R is integrated by trapezoidal rule.</t>
  </si>
  <si>
    <t>Sζ(ω) [m^2 s]</t>
  </si>
  <si>
    <t>Y(ω) [m/m]</t>
  </si>
  <si>
    <t>Y^2(ω)</t>
  </si>
  <si>
    <t>wave seg. area</t>
  </si>
  <si>
    <t>SR(ω)</t>
  </si>
  <si>
    <t>resp. seg. area</t>
  </si>
  <si>
    <t xml:space="preserve">m0 wave [m^2] = </t>
  </si>
  <si>
    <t xml:space="preserve">H1/3 [m] = </t>
  </si>
  <si>
    <t xml:space="preserve">m0R [m^2] = </t>
  </si>
  <si>
    <t xml:space="preserve">z1/3 [m]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</si>
</sst>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2" fontId="4" fillId="6" borderId="0" xfId="0" applyNumberFormat="1" applyFont="1" applyFill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Wave spectrum S(</a:t>
            </a:r>
            <a:r>
              <a:rPr lang="el-GR"/>
              <a:t>ω)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numRef>
              <c:f>Hs_from_spectrum!$A$5:$A$21</c:f>
              <c:numCache>
                <c:formatCode>0.00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Hs_from_spectrum!$B$5:$B$21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0.59</c:v>
                </c:pt>
                <c:pt idx="4">
                  <c:v>4.09</c:v>
                </c:pt>
                <c:pt idx="5">
                  <c:v>3.37</c:v>
                </c:pt>
                <c:pt idx="6">
                  <c:v>1.89</c:v>
                </c:pt>
                <c:pt idx="7">
                  <c:v>1.01</c:v>
                </c:pt>
                <c:pt idx="8">
                  <c:v>0.55000000000000004</c:v>
                </c:pt>
                <c:pt idx="9">
                  <c:v>0.32</c:v>
                </c:pt>
                <c:pt idx="10">
                  <c:v>0.19</c:v>
                </c:pt>
                <c:pt idx="11">
                  <c:v>0.12</c:v>
                </c:pt>
                <c:pt idx="12">
                  <c:v>0.08</c:v>
                </c:pt>
                <c:pt idx="13">
                  <c:v>0.05</c:v>
                </c:pt>
                <c:pt idx="14">
                  <c:v>0.04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3-014F-AFD0-C9E2DFF32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Wave spectrum and transfer data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Sζ(ω) [m^2 s]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Response_example!$B$6:$B$21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0.59</c:v>
                </c:pt>
                <c:pt idx="4">
                  <c:v>4.09</c:v>
                </c:pt>
                <c:pt idx="5">
                  <c:v>3.37</c:v>
                </c:pt>
                <c:pt idx="6">
                  <c:v>1.89</c:v>
                </c:pt>
                <c:pt idx="7">
                  <c:v>1.01</c:v>
                </c:pt>
                <c:pt idx="8">
                  <c:v>0.55000000000000004</c:v>
                </c:pt>
                <c:pt idx="9">
                  <c:v>0.32</c:v>
                </c:pt>
                <c:pt idx="10">
                  <c:v>0.19</c:v>
                </c:pt>
                <c:pt idx="11">
                  <c:v>0.12</c:v>
                </c:pt>
                <c:pt idx="12">
                  <c:v>0.08</c:v>
                </c:pt>
                <c:pt idx="13">
                  <c:v>0.05</c:v>
                </c:pt>
                <c:pt idx="14">
                  <c:v>0.04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7-7145-9D96-548E3070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</a:t>
            </a:r>
            <a:r>
              <a:rPr lang="el-GR"/>
              <a:t>ζ(ω), </a:t>
            </a:r>
            <a:r>
              <a:rPr lang="en-US"/>
              <a:t>Y(</a:t>
            </a:r>
            <a:r>
              <a:rPr lang="el-GR"/>
              <a:t>ω), </a:t>
            </a:r>
            <a:r>
              <a:rPr lang="en-US"/>
              <a:t>and SR(</a:t>
            </a:r>
            <a:r>
              <a:rPr lang="el-GR"/>
              <a:t>ω)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Sζ(ω) [m^2 s]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Response_example!$B$6:$B$21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0.59</c:v>
                </c:pt>
                <c:pt idx="4">
                  <c:v>4.09</c:v>
                </c:pt>
                <c:pt idx="5">
                  <c:v>3.37</c:v>
                </c:pt>
                <c:pt idx="6">
                  <c:v>1.89</c:v>
                </c:pt>
                <c:pt idx="7">
                  <c:v>1.01</c:v>
                </c:pt>
                <c:pt idx="8">
                  <c:v>0.55000000000000004</c:v>
                </c:pt>
                <c:pt idx="9">
                  <c:v>0.32</c:v>
                </c:pt>
                <c:pt idx="10">
                  <c:v>0.19</c:v>
                </c:pt>
                <c:pt idx="11">
                  <c:v>0.12</c:v>
                </c:pt>
                <c:pt idx="12">
                  <c:v>0.08</c:v>
                </c:pt>
                <c:pt idx="13">
                  <c:v>0.05</c:v>
                </c:pt>
                <c:pt idx="14">
                  <c:v>0.04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1-D841-B440-BF451864B971}"/>
            </c:ext>
          </c:extLst>
        </c:ser>
        <c:ser>
          <c:idx val="1"/>
          <c:order val="1"/>
          <c:tx>
            <c:v>Y(ω) [m/m]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Response_example!$C$6:$C$21</c:f>
              <c:numCache>
                <c:formatCode>0.00</c:formatCode>
                <c:ptCount val="16"/>
                <c:pt idx="0">
                  <c:v>1</c:v>
                </c:pt>
                <c:pt idx="1">
                  <c:v>1.1000000000000001</c:v>
                </c:pt>
                <c:pt idx="2">
                  <c:v>2</c:v>
                </c:pt>
                <c:pt idx="3">
                  <c:v>0.3</c:v>
                </c:pt>
                <c:pt idx="4">
                  <c:v>0.55000000000000004</c:v>
                </c:pt>
                <c:pt idx="5">
                  <c:v>0.5</c:v>
                </c:pt>
                <c:pt idx="6">
                  <c:v>0.3</c:v>
                </c:pt>
                <c:pt idx="7">
                  <c:v>0.1</c:v>
                </c:pt>
                <c:pt idx="8">
                  <c:v>0.02</c:v>
                </c:pt>
                <c:pt idx="9">
                  <c:v>0.06</c:v>
                </c:pt>
                <c:pt idx="10">
                  <c:v>0.1</c:v>
                </c:pt>
                <c:pt idx="11">
                  <c:v>0.06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1-D841-B440-BF451864B971}"/>
            </c:ext>
          </c:extLst>
        </c:ser>
        <c:ser>
          <c:idx val="2"/>
          <c:order val="2"/>
          <c:tx>
            <c:v>Y^2(ω)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Response_example!$D$6:$D$21</c:f>
              <c:numCache>
                <c:formatCode>0.000</c:formatCode>
                <c:ptCount val="16"/>
                <c:pt idx="0">
                  <c:v>1</c:v>
                </c:pt>
                <c:pt idx="1">
                  <c:v>1.2100000000000002</c:v>
                </c:pt>
                <c:pt idx="2">
                  <c:v>4</c:v>
                </c:pt>
                <c:pt idx="3">
                  <c:v>0.09</c:v>
                </c:pt>
                <c:pt idx="4">
                  <c:v>0.30250000000000005</c:v>
                </c:pt>
                <c:pt idx="5">
                  <c:v>0.25</c:v>
                </c:pt>
                <c:pt idx="6">
                  <c:v>0.09</c:v>
                </c:pt>
                <c:pt idx="7">
                  <c:v>1.0000000000000002E-2</c:v>
                </c:pt>
                <c:pt idx="8">
                  <c:v>4.0000000000000002E-4</c:v>
                </c:pt>
                <c:pt idx="9">
                  <c:v>3.5999999999999999E-3</c:v>
                </c:pt>
                <c:pt idx="10">
                  <c:v>1.0000000000000002E-2</c:v>
                </c:pt>
                <c:pt idx="11">
                  <c:v>3.5999999999999999E-3</c:v>
                </c:pt>
                <c:pt idx="12">
                  <c:v>4.0000000000000002E-4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1-D841-B440-BF451864B971}"/>
            </c:ext>
          </c:extLst>
        </c:ser>
        <c:ser>
          <c:idx val="3"/>
          <c:order val="3"/>
          <c:tx>
            <c:v>wave seg. area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Response_example!$E$6:$E$21</c:f>
              <c:numCache>
                <c:formatCode>0.000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2.9499999999999992E-2</c:v>
                </c:pt>
                <c:pt idx="4">
                  <c:v>0.23400000000000007</c:v>
                </c:pt>
                <c:pt idx="5">
                  <c:v>0.37299999999999994</c:v>
                </c:pt>
                <c:pt idx="6">
                  <c:v>0.26299999999999996</c:v>
                </c:pt>
                <c:pt idx="7">
                  <c:v>0.14499999999999996</c:v>
                </c:pt>
                <c:pt idx="8">
                  <c:v>7.8000000000000069E-2</c:v>
                </c:pt>
                <c:pt idx="9">
                  <c:v>4.3499999999999997E-2</c:v>
                </c:pt>
                <c:pt idx="10">
                  <c:v>2.5499999999999995E-2</c:v>
                </c:pt>
                <c:pt idx="11">
                  <c:v>1.5500000000000014E-2</c:v>
                </c:pt>
                <c:pt idx="12">
                  <c:v>9.9999999999999881E-3</c:v>
                </c:pt>
                <c:pt idx="13">
                  <c:v>6.5000000000000058E-3</c:v>
                </c:pt>
                <c:pt idx="14">
                  <c:v>4.4999999999999936E-3</c:v>
                </c:pt>
                <c:pt idx="15">
                  <c:v>3.5000000000000035E-3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1-D841-B440-BF451864B971}"/>
            </c:ext>
          </c:extLst>
        </c:ser>
        <c:ser>
          <c:idx val="4"/>
          <c:order val="4"/>
          <c:tx>
            <c:v>SR(ω)</c:v>
          </c:tx>
          <c:cat>
            <c:numRef>
              <c:f>Response_example!$A$6:$A$21</c:f>
              <c:numCache>
                <c:formatCode>0.00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cat>
          <c:val>
            <c:numRef>
              <c:f>Response_example!$F$6:$F$21</c:f>
              <c:numCache>
                <c:formatCode>0.000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5.3099999999999994E-2</c:v>
                </c:pt>
                <c:pt idx="4">
                  <c:v>1.2372250000000002</c:v>
                </c:pt>
                <c:pt idx="5">
                  <c:v>0.84250000000000003</c:v>
                </c:pt>
                <c:pt idx="6">
                  <c:v>0.17009999999999997</c:v>
                </c:pt>
                <c:pt idx="7">
                  <c:v>1.0100000000000001E-2</c:v>
                </c:pt>
                <c:pt idx="8">
                  <c:v>2.2000000000000003E-4</c:v>
                </c:pt>
                <c:pt idx="9">
                  <c:v>1.152E-3</c:v>
                </c:pt>
                <c:pt idx="10">
                  <c:v>1.9000000000000004E-3</c:v>
                </c:pt>
                <c:pt idx="11">
                  <c:v>4.3199999999999998E-4</c:v>
                </c:pt>
                <c:pt idx="12">
                  <c:v>3.2000000000000005E-5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81-D841-B440-BF451864B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2</xdr:col>
      <xdr:colOff>1079500</xdr:colOff>
      <xdr:row>40</xdr:row>
      <xdr:rowOff>50800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12700</xdr:rowOff>
    </xdr:from>
    <xdr:to>
      <xdr:col>5</xdr:col>
      <xdr:colOff>1079500</xdr:colOff>
      <xdr:row>38</xdr:row>
      <xdr:rowOff>12700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baseColWidth="10" defaultColWidth="8.83203125" defaultRowHeight="15"/>
  <cols>
    <col min="1" max="1" width="21" customWidth="1"/>
    <col min="2" max="2" width="52.83203125" customWidth="1"/>
    <col min="3" max="3" width="60.5" customWidth="1"/>
  </cols>
  <sheetData>
    <row r="1" spans="1:6" ht="18">
      <c r="A1" s="3" t="s">
        <v>0</v>
      </c>
      <c r="B1" s="3"/>
      <c r="C1" s="3"/>
      <c r="D1" s="3"/>
      <c r="E1" s="3"/>
      <c r="F1" s="3"/>
    </row>
    <row r="2" spans="1:6" ht="16">
      <c r="A2" s="2" t="s">
        <v>1</v>
      </c>
      <c r="B2" s="1" t="s">
        <v>2</v>
      </c>
      <c r="C2" s="1"/>
    </row>
    <row r="3" spans="1:6" ht="32">
      <c r="A3" s="2"/>
      <c r="B3" s="1" t="s">
        <v>3</v>
      </c>
      <c r="C3" s="1"/>
    </row>
    <row r="4" spans="1:6" ht="16">
      <c r="A4" s="2"/>
      <c r="B4" s="1" t="s">
        <v>4</v>
      </c>
      <c r="C4" s="1"/>
    </row>
    <row r="5" spans="1:6" ht="16">
      <c r="A5" s="2"/>
      <c r="B5" s="1" t="s">
        <v>5</v>
      </c>
      <c r="C5" s="1"/>
    </row>
    <row r="6" spans="1:6" ht="16">
      <c r="A6" s="2"/>
      <c r="B6" s="1" t="s">
        <v>6</v>
      </c>
      <c r="C6" s="1"/>
    </row>
    <row r="7" spans="1:6" ht="16">
      <c r="A7" s="2" t="s">
        <v>7</v>
      </c>
      <c r="B7" s="1" t="s">
        <v>8</v>
      </c>
      <c r="C7" s="1" t="s">
        <v>9</v>
      </c>
    </row>
    <row r="8" spans="1:6" ht="16">
      <c r="A8" s="2"/>
      <c r="B8" s="1" t="s">
        <v>10</v>
      </c>
      <c r="C8" s="1" t="s">
        <v>11</v>
      </c>
    </row>
    <row r="9" spans="1:6" ht="32">
      <c r="A9" s="2"/>
      <c r="B9" s="1" t="s">
        <v>12</v>
      </c>
      <c r="C9" s="1" t="s">
        <v>13</v>
      </c>
    </row>
    <row r="10" spans="1:6" ht="16">
      <c r="A10" s="2" t="s">
        <v>14</v>
      </c>
      <c r="B10" s="1" t="s">
        <v>15</v>
      </c>
      <c r="C10" s="1" t="s">
        <v>16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activeCell="J29" sqref="J29"/>
    </sheetView>
  </sheetViews>
  <sheetFormatPr baseColWidth="10" defaultColWidth="8.83203125" defaultRowHeight="15"/>
  <cols>
    <col min="1" max="1" width="28.5" style="6" bestFit="1" customWidth="1"/>
    <col min="2" max="2" width="6" style="6" bestFit="1" customWidth="1"/>
    <col min="3" max="3" width="5.6640625" style="6" bestFit="1" customWidth="1"/>
    <col min="4" max="4" width="28.6640625" style="6" bestFit="1" customWidth="1"/>
    <col min="5" max="5" width="7.1640625" style="6" bestFit="1" customWidth="1"/>
    <col min="6" max="16384" width="8.83203125" style="6"/>
  </cols>
  <sheetData>
    <row r="1" spans="1:6" ht="18">
      <c r="A1" s="5" t="s">
        <v>17</v>
      </c>
      <c r="B1" s="5"/>
      <c r="C1" s="5"/>
      <c r="D1" s="5"/>
      <c r="E1" s="5"/>
      <c r="F1" s="5"/>
    </row>
    <row r="2" spans="1:6">
      <c r="A2" s="4" t="s">
        <v>18</v>
      </c>
      <c r="B2" s="4"/>
      <c r="C2" s="4"/>
      <c r="D2" s="4"/>
      <c r="E2" s="4"/>
      <c r="F2" s="4"/>
    </row>
    <row r="3" spans="1:6" ht="16">
      <c r="A3" s="7" t="s">
        <v>19</v>
      </c>
      <c r="B3" s="7">
        <f>COUNT(B6:B35)</f>
        <v>15</v>
      </c>
      <c r="C3" s="7"/>
      <c r="D3" s="7" t="s">
        <v>20</v>
      </c>
      <c r="E3" s="7">
        <v>5</v>
      </c>
      <c r="F3" s="7"/>
    </row>
    <row r="4" spans="1:6" ht="16">
      <c r="A4" s="7" t="s">
        <v>21</v>
      </c>
      <c r="B4" s="7">
        <f>MAX(B6:B35)</f>
        <v>5.5</v>
      </c>
      <c r="C4" s="7"/>
      <c r="D4" s="7" t="s">
        <v>22</v>
      </c>
      <c r="E4" s="7">
        <f>AVERAGE(B6:B35)</f>
        <v>2.9019999999999997</v>
      </c>
      <c r="F4" s="7"/>
    </row>
    <row r="5" spans="1:6" ht="16">
      <c r="A5" s="7" t="s">
        <v>23</v>
      </c>
      <c r="B5" s="7">
        <f>AVERAGE(B6:B10)</f>
        <v>4.5999999999999996</v>
      </c>
      <c r="C5" s="7"/>
      <c r="D5" s="7" t="s">
        <v>24</v>
      </c>
      <c r="E5" s="7">
        <f>AVERAGE(C6:C10)</f>
        <v>12.175000000000001</v>
      </c>
      <c r="F5" s="7"/>
    </row>
    <row r="6" spans="1:6" ht="16">
      <c r="A6" s="8" t="s">
        <v>25</v>
      </c>
      <c r="B6" s="9" t="s">
        <v>26</v>
      </c>
      <c r="C6" s="9" t="s">
        <v>27</v>
      </c>
      <c r="D6" s="8" t="s">
        <v>28</v>
      </c>
    </row>
    <row r="7" spans="1:6">
      <c r="A7" s="6">
        <v>1</v>
      </c>
      <c r="B7" s="10">
        <v>5.5</v>
      </c>
      <c r="C7" s="10">
        <v>12.5</v>
      </c>
      <c r="D7" s="6">
        <v>7</v>
      </c>
    </row>
    <row r="8" spans="1:6">
      <c r="A8" s="6">
        <v>2</v>
      </c>
      <c r="B8" s="10">
        <v>4.8</v>
      </c>
      <c r="C8" s="10">
        <v>13</v>
      </c>
      <c r="D8" s="6">
        <v>12</v>
      </c>
    </row>
    <row r="9" spans="1:6">
      <c r="A9" s="6">
        <v>3</v>
      </c>
      <c r="B9" s="10">
        <v>4.2</v>
      </c>
      <c r="C9" s="10">
        <v>12</v>
      </c>
      <c r="D9" s="6">
        <v>15</v>
      </c>
    </row>
    <row r="10" spans="1:6">
      <c r="A10" s="6">
        <v>4</v>
      </c>
      <c r="B10" s="10">
        <v>3.9</v>
      </c>
      <c r="C10" s="10">
        <v>11.2</v>
      </c>
      <c r="D10" s="6">
        <v>3</v>
      </c>
    </row>
    <row r="11" spans="1:6">
      <c r="A11" s="6">
        <v>5</v>
      </c>
      <c r="B11" s="10">
        <v>3.8</v>
      </c>
      <c r="C11" s="10">
        <v>15.2</v>
      </c>
      <c r="D11" s="6">
        <v>5</v>
      </c>
    </row>
    <row r="12" spans="1:6">
      <c r="A12" s="6">
        <v>6</v>
      </c>
      <c r="B12" s="10">
        <v>3.4</v>
      </c>
      <c r="C12" s="10">
        <v>8.5</v>
      </c>
      <c r="D12" s="6">
        <v>4</v>
      </c>
    </row>
    <row r="13" spans="1:6">
      <c r="A13" s="6">
        <v>7</v>
      </c>
      <c r="B13" s="10">
        <v>2.9</v>
      </c>
      <c r="C13" s="10">
        <v>11.9</v>
      </c>
      <c r="D13" s="6">
        <v>2</v>
      </c>
    </row>
    <row r="14" spans="1:6">
      <c r="A14" s="6">
        <v>8</v>
      </c>
      <c r="B14" s="10">
        <v>2.8</v>
      </c>
      <c r="C14" s="10">
        <v>11</v>
      </c>
      <c r="D14" s="6">
        <v>11</v>
      </c>
    </row>
    <row r="15" spans="1:6">
      <c r="A15" s="6">
        <v>9</v>
      </c>
      <c r="B15" s="10">
        <v>2.7</v>
      </c>
      <c r="C15" s="10">
        <v>9.3000000000000007</v>
      </c>
      <c r="D15" s="6">
        <v>6</v>
      </c>
    </row>
    <row r="16" spans="1:6">
      <c r="A16" s="6">
        <v>10</v>
      </c>
      <c r="B16" s="10">
        <v>2.2999999999999998</v>
      </c>
      <c r="C16" s="10">
        <v>10.1</v>
      </c>
      <c r="D16" s="6">
        <v>1</v>
      </c>
    </row>
    <row r="17" spans="1:4">
      <c r="A17" s="6">
        <v>11</v>
      </c>
      <c r="B17" s="10">
        <v>2.2000000000000002</v>
      </c>
      <c r="C17" s="10">
        <v>7.2</v>
      </c>
      <c r="D17" s="6">
        <v>10</v>
      </c>
    </row>
    <row r="18" spans="1:4">
      <c r="A18" s="6">
        <v>12</v>
      </c>
      <c r="B18" s="10">
        <v>1.9</v>
      </c>
      <c r="C18" s="10">
        <v>5.6</v>
      </c>
      <c r="D18" s="6">
        <v>8</v>
      </c>
    </row>
    <row r="19" spans="1:4">
      <c r="A19" s="6">
        <v>13</v>
      </c>
      <c r="B19" s="10">
        <v>1.8</v>
      </c>
      <c r="C19" s="10">
        <v>6.3</v>
      </c>
      <c r="D19" s="6">
        <v>13</v>
      </c>
    </row>
    <row r="20" spans="1:4">
      <c r="A20" s="6">
        <v>14</v>
      </c>
      <c r="B20" s="10">
        <v>1.1000000000000001</v>
      </c>
      <c r="C20" s="10">
        <v>4</v>
      </c>
      <c r="D20" s="6">
        <v>14</v>
      </c>
    </row>
    <row r="21" spans="1:4">
      <c r="A21" s="6">
        <v>15</v>
      </c>
      <c r="B21" s="10">
        <v>0.23</v>
      </c>
      <c r="C21" s="10">
        <v>0.9</v>
      </c>
      <c r="D21" s="6">
        <v>9</v>
      </c>
    </row>
    <row r="22" spans="1:4">
      <c r="B22" s="10"/>
      <c r="C22" s="10"/>
    </row>
    <row r="23" spans="1:4">
      <c r="B23" s="10"/>
      <c r="C23" s="10"/>
    </row>
    <row r="24" spans="1:4">
      <c r="B24" s="10"/>
      <c r="C24" s="10"/>
    </row>
    <row r="25" spans="1:4">
      <c r="B25" s="10"/>
      <c r="C25" s="10"/>
    </row>
    <row r="26" spans="1:4">
      <c r="B26" s="10"/>
      <c r="C26" s="10"/>
    </row>
    <row r="27" spans="1:4">
      <c r="B27" s="10"/>
      <c r="C27" s="10"/>
    </row>
    <row r="28" spans="1:4">
      <c r="B28" s="10"/>
      <c r="C28" s="10"/>
    </row>
    <row r="29" spans="1:4">
      <c r="B29" s="10"/>
      <c r="C29" s="10"/>
    </row>
    <row r="30" spans="1:4">
      <c r="B30" s="10"/>
      <c r="C30" s="10"/>
    </row>
    <row r="31" spans="1:4">
      <c r="B31" s="10"/>
      <c r="C31" s="10"/>
    </row>
    <row r="32" spans="1:4">
      <c r="B32" s="10"/>
      <c r="C32" s="10"/>
    </row>
    <row r="33" spans="2:3">
      <c r="B33" s="10"/>
      <c r="C33" s="10"/>
    </row>
    <row r="34" spans="2:3">
      <c r="B34" s="10"/>
      <c r="C34" s="10"/>
    </row>
    <row r="35" spans="2:3">
      <c r="B35" s="10"/>
      <c r="C35" s="10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="135" workbookViewId="0">
      <selection activeCell="C17" sqref="C17"/>
    </sheetView>
  </sheetViews>
  <sheetFormatPr baseColWidth="10" defaultColWidth="8.83203125" defaultRowHeight="15"/>
  <cols>
    <col min="1" max="6" width="17.6640625" style="6" customWidth="1"/>
    <col min="7" max="16384" width="8.83203125" style="1"/>
  </cols>
  <sheetData>
    <row r="1" spans="1:6" ht="18">
      <c r="A1" s="5" t="s">
        <v>29</v>
      </c>
      <c r="B1" s="5"/>
      <c r="C1" s="5"/>
      <c r="D1" s="5"/>
      <c r="E1" s="5"/>
      <c r="F1" s="5"/>
    </row>
    <row r="2" spans="1:6">
      <c r="A2" s="4" t="s">
        <v>30</v>
      </c>
      <c r="B2" s="4"/>
      <c r="C2" s="4"/>
      <c r="D2" s="4"/>
      <c r="E2" s="4"/>
      <c r="F2" s="4"/>
    </row>
    <row r="3" spans="1:6" ht="32">
      <c r="A3" s="7" t="s">
        <v>31</v>
      </c>
      <c r="B3" s="7">
        <f>SUM(D7:D20)</f>
        <v>1.2315000000000003</v>
      </c>
      <c r="C3" s="7"/>
      <c r="D3" s="7" t="s">
        <v>32</v>
      </c>
      <c r="E3" s="7">
        <f>4*SQRT(B3)</f>
        <v>4.4389187872724145</v>
      </c>
      <c r="F3" s="7"/>
    </row>
    <row r="4" spans="1:6" ht="16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</row>
    <row r="5" spans="1:6">
      <c r="A5" s="10">
        <v>0</v>
      </c>
      <c r="B5" s="10">
        <v>0</v>
      </c>
    </row>
    <row r="6" spans="1:6">
      <c r="A6" s="10">
        <v>0.1</v>
      </c>
      <c r="B6" s="10">
        <v>0</v>
      </c>
    </row>
    <row r="7" spans="1:6">
      <c r="A7" s="10">
        <v>0.2</v>
      </c>
      <c r="B7" s="10">
        <v>0</v>
      </c>
      <c r="C7" s="11">
        <f t="shared" ref="C7:C20" si="0">A7-A6</f>
        <v>0.1</v>
      </c>
      <c r="D7" s="11">
        <f t="shared" ref="D7:D20" si="1">0.5*(B7+B6)*C7</f>
        <v>0</v>
      </c>
      <c r="E7" s="11">
        <f>D7</f>
        <v>0</v>
      </c>
    </row>
    <row r="8" spans="1:6">
      <c r="A8" s="10">
        <v>0.3</v>
      </c>
      <c r="B8" s="10">
        <v>0.59</v>
      </c>
      <c r="C8" s="11">
        <f t="shared" si="0"/>
        <v>9.9999999999999978E-2</v>
      </c>
      <c r="D8" s="11">
        <f t="shared" si="1"/>
        <v>2.9499999999999992E-2</v>
      </c>
      <c r="E8" s="11">
        <f t="shared" ref="E8:E20" si="2">E7+D8</f>
        <v>2.9499999999999992E-2</v>
      </c>
    </row>
    <row r="9" spans="1:6">
      <c r="A9" s="10">
        <v>0.4</v>
      </c>
      <c r="B9" s="10">
        <v>4.09</v>
      </c>
      <c r="C9" s="11">
        <f t="shared" si="0"/>
        <v>0.10000000000000003</v>
      </c>
      <c r="D9" s="11">
        <f t="shared" si="1"/>
        <v>0.23400000000000007</v>
      </c>
      <c r="E9" s="11">
        <f t="shared" si="2"/>
        <v>0.26350000000000007</v>
      </c>
    </row>
    <row r="10" spans="1:6">
      <c r="A10" s="10">
        <v>0.5</v>
      </c>
      <c r="B10" s="10">
        <v>3.37</v>
      </c>
      <c r="C10" s="11">
        <f t="shared" si="0"/>
        <v>9.9999999999999978E-2</v>
      </c>
      <c r="D10" s="11">
        <f t="shared" si="1"/>
        <v>0.37299999999999994</v>
      </c>
      <c r="E10" s="11">
        <f t="shared" si="2"/>
        <v>0.63650000000000007</v>
      </c>
    </row>
    <row r="11" spans="1:6">
      <c r="A11" s="10">
        <v>0.6</v>
      </c>
      <c r="B11" s="10">
        <v>1.89</v>
      </c>
      <c r="C11" s="11">
        <f t="shared" si="0"/>
        <v>9.9999999999999978E-2</v>
      </c>
      <c r="D11" s="11">
        <f t="shared" si="1"/>
        <v>0.26299999999999996</v>
      </c>
      <c r="E11" s="11">
        <f t="shared" si="2"/>
        <v>0.89949999999999997</v>
      </c>
    </row>
    <row r="12" spans="1:6">
      <c r="A12" s="10">
        <v>0.7</v>
      </c>
      <c r="B12" s="10">
        <v>1.01</v>
      </c>
      <c r="C12" s="11">
        <f t="shared" si="0"/>
        <v>9.9999999999999978E-2</v>
      </c>
      <c r="D12" s="11">
        <f t="shared" si="1"/>
        <v>0.14499999999999996</v>
      </c>
      <c r="E12" s="11">
        <f t="shared" si="2"/>
        <v>1.0445</v>
      </c>
    </row>
    <row r="13" spans="1:6">
      <c r="A13" s="10">
        <v>0.8</v>
      </c>
      <c r="B13" s="10">
        <v>0.55000000000000004</v>
      </c>
      <c r="C13" s="11">
        <f t="shared" si="0"/>
        <v>0.10000000000000009</v>
      </c>
      <c r="D13" s="11">
        <f t="shared" si="1"/>
        <v>7.8000000000000069E-2</v>
      </c>
      <c r="E13" s="11">
        <f t="shared" si="2"/>
        <v>1.1225000000000001</v>
      </c>
    </row>
    <row r="14" spans="1:6">
      <c r="A14" s="10">
        <v>0.9</v>
      </c>
      <c r="B14" s="10">
        <v>0.32</v>
      </c>
      <c r="C14" s="11">
        <f t="shared" si="0"/>
        <v>9.9999999999999978E-2</v>
      </c>
      <c r="D14" s="11">
        <f t="shared" si="1"/>
        <v>4.3499999999999997E-2</v>
      </c>
      <c r="E14" s="11">
        <f t="shared" si="2"/>
        <v>1.1660000000000001</v>
      </c>
    </row>
    <row r="15" spans="1:6">
      <c r="A15" s="10">
        <v>1</v>
      </c>
      <c r="B15" s="10">
        <v>0.19</v>
      </c>
      <c r="C15" s="11">
        <f t="shared" si="0"/>
        <v>9.9999999999999978E-2</v>
      </c>
      <c r="D15" s="11">
        <f t="shared" si="1"/>
        <v>2.5499999999999995E-2</v>
      </c>
      <c r="E15" s="11">
        <f t="shared" si="2"/>
        <v>1.1915000000000002</v>
      </c>
    </row>
    <row r="16" spans="1:6">
      <c r="A16" s="10">
        <v>1.1000000000000001</v>
      </c>
      <c r="B16" s="10">
        <v>0.12</v>
      </c>
      <c r="C16" s="11">
        <f t="shared" si="0"/>
        <v>0.10000000000000009</v>
      </c>
      <c r="D16" s="11">
        <f t="shared" si="1"/>
        <v>1.5500000000000014E-2</v>
      </c>
      <c r="E16" s="11">
        <f t="shared" si="2"/>
        <v>1.2070000000000003</v>
      </c>
    </row>
    <row r="17" spans="1:5">
      <c r="A17" s="10">
        <v>1.2</v>
      </c>
      <c r="B17" s="10">
        <v>0.08</v>
      </c>
      <c r="C17" s="11">
        <f t="shared" si="0"/>
        <v>9.9999999999999867E-2</v>
      </c>
      <c r="D17" s="11">
        <f t="shared" si="1"/>
        <v>9.9999999999999881E-3</v>
      </c>
      <c r="E17" s="11">
        <f t="shared" si="2"/>
        <v>1.2170000000000003</v>
      </c>
    </row>
    <row r="18" spans="1:5">
      <c r="A18" s="10">
        <v>1.3</v>
      </c>
      <c r="B18" s="10">
        <v>0.05</v>
      </c>
      <c r="C18" s="11">
        <f t="shared" si="0"/>
        <v>0.10000000000000009</v>
      </c>
      <c r="D18" s="11">
        <f t="shared" si="1"/>
        <v>6.5000000000000058E-3</v>
      </c>
      <c r="E18" s="11">
        <f t="shared" si="2"/>
        <v>1.2235000000000003</v>
      </c>
    </row>
    <row r="19" spans="1:5">
      <c r="A19" s="10">
        <v>1.4</v>
      </c>
      <c r="B19" s="10">
        <v>0.04</v>
      </c>
      <c r="C19" s="11">
        <f t="shared" si="0"/>
        <v>9.9999999999999867E-2</v>
      </c>
      <c r="D19" s="11">
        <f t="shared" si="1"/>
        <v>4.4999999999999936E-3</v>
      </c>
      <c r="E19" s="11">
        <f t="shared" si="2"/>
        <v>1.2280000000000002</v>
      </c>
    </row>
    <row r="20" spans="1:5">
      <c r="A20" s="10">
        <v>1.5</v>
      </c>
      <c r="B20" s="10">
        <v>0.03</v>
      </c>
      <c r="C20" s="11">
        <f t="shared" si="0"/>
        <v>0.10000000000000009</v>
      </c>
      <c r="D20" s="11">
        <f t="shared" si="1"/>
        <v>3.5000000000000035E-3</v>
      </c>
      <c r="E20" s="11">
        <f t="shared" si="2"/>
        <v>1.2315000000000003</v>
      </c>
    </row>
    <row r="21" spans="1:5">
      <c r="A21" s="10"/>
      <c r="B21" s="10"/>
      <c r="C21" s="11"/>
      <c r="D21" s="11"/>
      <c r="E21" s="11"/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workbookViewId="0">
      <selection activeCell="E7" sqref="E7"/>
    </sheetView>
  </sheetViews>
  <sheetFormatPr baseColWidth="10" defaultColWidth="8.83203125" defaultRowHeight="15"/>
  <cols>
    <col min="1" max="7" width="23.83203125" style="6" customWidth="1"/>
    <col min="8" max="16384" width="8.83203125" style="6"/>
  </cols>
  <sheetData>
    <row r="1" spans="1:7" ht="18">
      <c r="A1" s="5" t="s">
        <v>38</v>
      </c>
      <c r="B1" s="5"/>
      <c r="C1" s="5"/>
      <c r="D1" s="5"/>
      <c r="E1" s="5"/>
      <c r="F1" s="5"/>
      <c r="G1" s="5"/>
    </row>
    <row r="2" spans="1:7">
      <c r="A2" s="4" t="s">
        <v>39</v>
      </c>
      <c r="B2" s="4"/>
      <c r="C2" s="4"/>
      <c r="D2" s="4"/>
      <c r="E2" s="4"/>
      <c r="F2" s="4"/>
      <c r="G2" s="4"/>
    </row>
    <row r="3" spans="1:7" ht="16">
      <c r="A3" s="13" t="s">
        <v>46</v>
      </c>
      <c r="B3" s="12">
        <f>SUM(E7:E21)</f>
        <v>1.2315000000000003</v>
      </c>
      <c r="C3" s="13" t="s">
        <v>47</v>
      </c>
      <c r="D3" s="12">
        <f>4*SQRT(B3)</f>
        <v>4.4389187872724145</v>
      </c>
      <c r="E3" s="13" t="s">
        <v>48</v>
      </c>
      <c r="F3" s="12">
        <f>SUM(G7:G21)</f>
        <v>0.23167609999999997</v>
      </c>
      <c r="G3" s="7" t="s">
        <v>49</v>
      </c>
    </row>
    <row r="4" spans="1:7">
      <c r="A4" s="7"/>
      <c r="B4" s="7"/>
      <c r="C4" s="7"/>
      <c r="D4" s="7"/>
      <c r="E4" s="7"/>
      <c r="F4" s="7"/>
      <c r="G4" s="7">
        <f>2*SQRT(F3)</f>
        <v>0.96265487065718414</v>
      </c>
    </row>
    <row r="5" spans="1:7" ht="32">
      <c r="A5" s="8" t="s">
        <v>33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</row>
    <row r="6" spans="1:7">
      <c r="A6" s="10">
        <v>0</v>
      </c>
      <c r="B6" s="10">
        <v>0</v>
      </c>
      <c r="C6" s="10">
        <v>1</v>
      </c>
      <c r="D6" s="11">
        <f t="shared" ref="D6:D21" si="0">C6*C6</f>
        <v>1</v>
      </c>
      <c r="E6" s="11">
        <v>0</v>
      </c>
      <c r="F6" s="11">
        <f t="shared" ref="F6:F21" si="1">B6*D6</f>
        <v>0</v>
      </c>
      <c r="G6" s="11">
        <v>0</v>
      </c>
    </row>
    <row r="7" spans="1:7">
      <c r="A7" s="10">
        <v>0.1</v>
      </c>
      <c r="B7" s="10">
        <v>0</v>
      </c>
      <c r="C7" s="10">
        <v>1.1000000000000001</v>
      </c>
      <c r="D7" s="11">
        <f t="shared" si="0"/>
        <v>1.2100000000000002</v>
      </c>
      <c r="E7" s="11">
        <f t="shared" ref="E7:E21" si="2">0.5*(B7+B6)*(A7-A6)</f>
        <v>0</v>
      </c>
      <c r="F7" s="11">
        <f t="shared" si="1"/>
        <v>0</v>
      </c>
      <c r="G7" s="11">
        <f t="shared" ref="G7:G21" si="3">0.5*(F7+F6)*(A7-A6)</f>
        <v>0</v>
      </c>
    </row>
    <row r="8" spans="1:7">
      <c r="A8" s="10">
        <v>0.2</v>
      </c>
      <c r="B8" s="10">
        <v>0</v>
      </c>
      <c r="C8" s="10">
        <v>2</v>
      </c>
      <c r="D8" s="11">
        <f t="shared" si="0"/>
        <v>4</v>
      </c>
      <c r="E8" s="11">
        <f t="shared" si="2"/>
        <v>0</v>
      </c>
      <c r="F8" s="11">
        <f t="shared" si="1"/>
        <v>0</v>
      </c>
      <c r="G8" s="11">
        <f t="shared" si="3"/>
        <v>0</v>
      </c>
    </row>
    <row r="9" spans="1:7">
      <c r="A9" s="10">
        <v>0.3</v>
      </c>
      <c r="B9" s="10">
        <v>0.59</v>
      </c>
      <c r="C9" s="10">
        <v>0.3</v>
      </c>
      <c r="D9" s="11">
        <f t="shared" si="0"/>
        <v>0.09</v>
      </c>
      <c r="E9" s="11">
        <f t="shared" si="2"/>
        <v>2.9499999999999992E-2</v>
      </c>
      <c r="F9" s="11">
        <f t="shared" si="1"/>
        <v>5.3099999999999994E-2</v>
      </c>
      <c r="G9" s="11">
        <f t="shared" si="3"/>
        <v>2.6549999999999989E-3</v>
      </c>
    </row>
    <row r="10" spans="1:7">
      <c r="A10" s="10">
        <v>0.4</v>
      </c>
      <c r="B10" s="10">
        <v>4.09</v>
      </c>
      <c r="C10" s="10">
        <v>0.55000000000000004</v>
      </c>
      <c r="D10" s="11">
        <f t="shared" si="0"/>
        <v>0.30250000000000005</v>
      </c>
      <c r="E10" s="11">
        <f t="shared" si="2"/>
        <v>0.23400000000000007</v>
      </c>
      <c r="F10" s="11">
        <f t="shared" si="1"/>
        <v>1.2372250000000002</v>
      </c>
      <c r="G10" s="11">
        <f t="shared" si="3"/>
        <v>6.4516250000000025E-2</v>
      </c>
    </row>
    <row r="11" spans="1:7">
      <c r="A11" s="10">
        <v>0.5</v>
      </c>
      <c r="B11" s="10">
        <v>3.37</v>
      </c>
      <c r="C11" s="10">
        <v>0.5</v>
      </c>
      <c r="D11" s="11">
        <f t="shared" si="0"/>
        <v>0.25</v>
      </c>
      <c r="E11" s="11">
        <f t="shared" si="2"/>
        <v>0.37299999999999994</v>
      </c>
      <c r="F11" s="11">
        <f t="shared" si="1"/>
        <v>0.84250000000000003</v>
      </c>
      <c r="G11" s="11">
        <f t="shared" si="3"/>
        <v>0.10398624999999999</v>
      </c>
    </row>
    <row r="12" spans="1:7">
      <c r="A12" s="10">
        <v>0.6</v>
      </c>
      <c r="B12" s="10">
        <v>1.89</v>
      </c>
      <c r="C12" s="10">
        <v>0.3</v>
      </c>
      <c r="D12" s="11">
        <f t="shared" si="0"/>
        <v>0.09</v>
      </c>
      <c r="E12" s="11">
        <f t="shared" si="2"/>
        <v>0.26299999999999996</v>
      </c>
      <c r="F12" s="11">
        <f t="shared" si="1"/>
        <v>0.17009999999999997</v>
      </c>
      <c r="G12" s="11">
        <f t="shared" si="3"/>
        <v>5.0629999999999988E-2</v>
      </c>
    </row>
    <row r="13" spans="1:7">
      <c r="A13" s="10">
        <v>0.7</v>
      </c>
      <c r="B13" s="10">
        <v>1.01</v>
      </c>
      <c r="C13" s="10">
        <v>0.1</v>
      </c>
      <c r="D13" s="11">
        <f t="shared" si="0"/>
        <v>1.0000000000000002E-2</v>
      </c>
      <c r="E13" s="11">
        <f t="shared" si="2"/>
        <v>0.14499999999999996</v>
      </c>
      <c r="F13" s="11">
        <f t="shared" si="1"/>
        <v>1.0100000000000001E-2</v>
      </c>
      <c r="G13" s="11">
        <f t="shared" si="3"/>
        <v>9.0099999999999972E-3</v>
      </c>
    </row>
    <row r="14" spans="1:7">
      <c r="A14" s="10">
        <v>0.8</v>
      </c>
      <c r="B14" s="10">
        <v>0.55000000000000004</v>
      </c>
      <c r="C14" s="10">
        <v>0.02</v>
      </c>
      <c r="D14" s="11">
        <f t="shared" si="0"/>
        <v>4.0000000000000002E-4</v>
      </c>
      <c r="E14" s="11">
        <f t="shared" si="2"/>
        <v>7.8000000000000069E-2</v>
      </c>
      <c r="F14" s="11">
        <f t="shared" si="1"/>
        <v>2.2000000000000003E-4</v>
      </c>
      <c r="G14" s="11">
        <f t="shared" si="3"/>
        <v>5.1600000000000051E-4</v>
      </c>
    </row>
    <row r="15" spans="1:7">
      <c r="A15" s="10">
        <v>0.9</v>
      </c>
      <c r="B15" s="10">
        <v>0.32</v>
      </c>
      <c r="C15" s="10">
        <v>0.06</v>
      </c>
      <c r="D15" s="11">
        <f t="shared" si="0"/>
        <v>3.5999999999999999E-3</v>
      </c>
      <c r="E15" s="11">
        <f t="shared" si="2"/>
        <v>4.3499999999999997E-2</v>
      </c>
      <c r="F15" s="11">
        <f t="shared" si="1"/>
        <v>1.152E-3</v>
      </c>
      <c r="G15" s="11">
        <f t="shared" si="3"/>
        <v>6.8599999999999987E-5</v>
      </c>
    </row>
    <row r="16" spans="1:7">
      <c r="A16" s="10">
        <v>1</v>
      </c>
      <c r="B16" s="10">
        <v>0.19</v>
      </c>
      <c r="C16" s="10">
        <v>0.1</v>
      </c>
      <c r="D16" s="11">
        <f t="shared" si="0"/>
        <v>1.0000000000000002E-2</v>
      </c>
      <c r="E16" s="11">
        <f t="shared" si="2"/>
        <v>2.5499999999999995E-2</v>
      </c>
      <c r="F16" s="11">
        <f t="shared" si="1"/>
        <v>1.9000000000000004E-3</v>
      </c>
      <c r="G16" s="11">
        <f t="shared" si="3"/>
        <v>1.526E-4</v>
      </c>
    </row>
    <row r="17" spans="1:7">
      <c r="A17" s="10">
        <v>1.1000000000000001</v>
      </c>
      <c r="B17" s="10">
        <v>0.12</v>
      </c>
      <c r="C17" s="10">
        <v>0.06</v>
      </c>
      <c r="D17" s="11">
        <f t="shared" si="0"/>
        <v>3.5999999999999999E-3</v>
      </c>
      <c r="E17" s="11">
        <f t="shared" si="2"/>
        <v>1.5500000000000014E-2</v>
      </c>
      <c r="F17" s="11">
        <f t="shared" si="1"/>
        <v>4.3199999999999998E-4</v>
      </c>
      <c r="G17" s="11">
        <f t="shared" si="3"/>
        <v>1.1660000000000012E-4</v>
      </c>
    </row>
    <row r="18" spans="1:7">
      <c r="A18" s="10">
        <v>1.2</v>
      </c>
      <c r="B18" s="10">
        <v>0.08</v>
      </c>
      <c r="C18" s="10">
        <v>0.02</v>
      </c>
      <c r="D18" s="11">
        <f t="shared" si="0"/>
        <v>4.0000000000000002E-4</v>
      </c>
      <c r="E18" s="11">
        <f t="shared" si="2"/>
        <v>9.9999999999999881E-3</v>
      </c>
      <c r="F18" s="11">
        <f t="shared" si="1"/>
        <v>3.2000000000000005E-5</v>
      </c>
      <c r="G18" s="11">
        <f t="shared" si="3"/>
        <v>2.3199999999999968E-5</v>
      </c>
    </row>
    <row r="19" spans="1:7">
      <c r="A19" s="10">
        <v>1.3</v>
      </c>
      <c r="B19" s="10">
        <v>0.05</v>
      </c>
      <c r="C19" s="10">
        <v>0</v>
      </c>
      <c r="D19" s="11">
        <f t="shared" si="0"/>
        <v>0</v>
      </c>
      <c r="E19" s="11">
        <f t="shared" si="2"/>
        <v>6.5000000000000058E-3</v>
      </c>
      <c r="F19" s="11">
        <f t="shared" si="1"/>
        <v>0</v>
      </c>
      <c r="G19" s="11">
        <f t="shared" si="3"/>
        <v>1.6000000000000016E-6</v>
      </c>
    </row>
    <row r="20" spans="1:7">
      <c r="A20" s="10">
        <v>1.4</v>
      </c>
      <c r="B20" s="10">
        <v>0.04</v>
      </c>
      <c r="C20" s="10">
        <v>0</v>
      </c>
      <c r="D20" s="11">
        <f t="shared" si="0"/>
        <v>0</v>
      </c>
      <c r="E20" s="11">
        <f t="shared" si="2"/>
        <v>4.4999999999999936E-3</v>
      </c>
      <c r="F20" s="11">
        <f t="shared" si="1"/>
        <v>0</v>
      </c>
      <c r="G20" s="11">
        <f t="shared" si="3"/>
        <v>0</v>
      </c>
    </row>
    <row r="21" spans="1:7">
      <c r="A21" s="10">
        <v>1.5</v>
      </c>
      <c r="B21" s="10">
        <v>0.03</v>
      </c>
      <c r="C21" s="10">
        <v>0</v>
      </c>
      <c r="D21" s="11">
        <f t="shared" si="0"/>
        <v>0</v>
      </c>
      <c r="E21" s="11">
        <f t="shared" si="2"/>
        <v>3.5000000000000035E-3</v>
      </c>
      <c r="F21" s="11">
        <f t="shared" si="1"/>
        <v>0</v>
      </c>
      <c r="G21" s="11">
        <f t="shared" si="3"/>
        <v>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Hs_from_sorted</vt:lpstr>
      <vt:lpstr>Hs_from_spectrum</vt:lpstr>
      <vt:lpstr>Response_example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2026-05-14T10:54:07Z</dcterms:modified>
</cp:coreProperties>
</file>