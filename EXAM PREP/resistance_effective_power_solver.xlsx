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EXAM PREP/"/>
    </mc:Choice>
  </mc:AlternateContent>
  <xr:revisionPtr revIDLastSave="0" documentId="13_ncr:1_{D4E32575-F83E-074E-A6CE-50336FE452BA}" xr6:coauthVersionLast="47" xr6:coauthVersionMax="47" xr10:uidLastSave="{00000000-0000-0000-0000-000000000000}"/>
  <bookViews>
    <workbookView xWindow="140" yWindow="920" windowWidth="14480" windowHeight="16580" activeTab="2" xr2:uid="{00000000-000D-0000-FFFF-FFFF00000000}"/>
  </bookViews>
  <sheets>
    <sheet name="ReadMe" sheetId="1" r:id="rId1"/>
    <sheet name="Scaling_Quick" sheetId="2" r:id="rId2"/>
    <sheet name="Effective_Po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F14" i="3"/>
  <c r="F15" i="3" s="1"/>
  <c r="F13" i="3"/>
  <c r="F12" i="3"/>
  <c r="F11" i="3"/>
  <c r="J10" i="3"/>
  <c r="F10" i="3"/>
  <c r="F7" i="3"/>
  <c r="J8" i="3" s="1"/>
  <c r="F6" i="3"/>
  <c r="F5" i="3"/>
  <c r="F4" i="3"/>
  <c r="J9" i="3" s="1"/>
  <c r="B10" i="2"/>
  <c r="B11" i="2" s="1"/>
  <c r="E6" i="2" s="1"/>
  <c r="E9" i="2"/>
  <c r="E4" i="2" l="1"/>
  <c r="E7" i="2" s="1"/>
  <c r="E5" i="2"/>
  <c r="E8" i="2" s="1"/>
  <c r="F16" i="3"/>
  <c r="F17" i="3" s="1"/>
  <c r="F8" i="3"/>
  <c r="F9" i="3" s="1"/>
  <c r="F18" i="3" l="1"/>
  <c r="J4" i="3" s="1"/>
  <c r="J6" i="3" l="1"/>
  <c r="J7" i="3" s="1"/>
  <c r="J5" i="3"/>
</calcChain>
</file>

<file path=xl/sharedStrings.xml><?xml version="1.0" encoding="utf-8"?>
<sst xmlns="http://schemas.openxmlformats.org/spreadsheetml/2006/main" count="99" uniqueCount="90">
  <si>
    <t>41107 Solver — Resistance / Scaling / Effective Power</t>
  </si>
  <si>
    <t>This workbook is for topic 8: resistance scaling and effective power.
It includes:
• quick corresponding-speeds scaling
• detailed effective-power solver using CT=(1+k)CF+CR
• CF → RF → CT/CR → RT → PE chain</t>
  </si>
  <si>
    <t>Sheet</t>
  </si>
  <si>
    <t>Purpose</t>
  </si>
  <si>
    <t>Scaling_Quick</t>
  </si>
  <si>
    <t>Quick α, corresponding speed, resistance and power scaling</t>
  </si>
  <si>
    <t>Effective_Power</t>
  </si>
  <si>
    <t>Detailed solver based on one known ship and one larger similar ship</t>
  </si>
  <si>
    <t>Important</t>
  </si>
  <si>
    <t>Yellow cells are inputs</t>
  </si>
  <si>
    <t>Units: speed in knots and m/s are both shown</t>
  </si>
  <si>
    <t>Use seawater ν ≈ 1.19E-6 m^2/s unless your exercise says otherwise</t>
  </si>
  <si>
    <t>Quick Scaling at Corresponding Speeds</t>
  </si>
  <si>
    <t>Input</t>
  </si>
  <si>
    <t>Value</t>
  </si>
  <si>
    <t>Output</t>
  </si>
  <si>
    <t>Ship length Ls (m)</t>
  </si>
  <si>
    <t>Resistance ratio Rs/Rm ≈ α^3</t>
  </si>
  <si>
    <t>Model length Lm (m)</t>
  </si>
  <si>
    <t>Power ratio Ps/Pm ≈ α^3.5</t>
  </si>
  <si>
    <t>Known speed V1 (knots, optional)</t>
  </si>
  <si>
    <t>Corresponding speed V2 (knots)</t>
  </si>
  <si>
    <t>Known resistance R1 (kN, optional)</t>
  </si>
  <si>
    <t>Scaled resistance R2 (kN)</t>
  </si>
  <si>
    <t>Known power P1 (MW, optional)</t>
  </si>
  <si>
    <t>Scaled power P2 (MW)</t>
  </si>
  <si>
    <t>Use same fluid density?</t>
  </si>
  <si>
    <t>Yes</t>
  </si>
  <si>
    <t>Note</t>
  </si>
  <si>
    <t>Scale factor α = Ls/Lm</t>
  </si>
  <si>
    <t>Corresponding-speed ratio √α</t>
  </si>
  <si>
    <t>Detailed Effective Power Solver</t>
  </si>
  <si>
    <t>Step</t>
  </si>
  <si>
    <t>Formula / meaning</t>
  </si>
  <si>
    <t>Final outputs</t>
  </si>
  <si>
    <t>Formula</t>
  </si>
  <si>
    <t>Small ship length L1 (m)</t>
  </si>
  <si>
    <t>U1 (m/s)</t>
  </si>
  <si>
    <t>knots → m/s</t>
  </si>
  <si>
    <t>RT2 (N)</t>
  </si>
  <si>
    <t>0.5ρU2^2S2CT2</t>
  </si>
  <si>
    <t>Small ship breadth B1 (m)</t>
  </si>
  <si>
    <t>Re1</t>
  </si>
  <si>
    <t>U1·L1/ν</t>
  </si>
  <si>
    <t>RT2 (kN)</t>
  </si>
  <si>
    <t>/1000</t>
  </si>
  <si>
    <t>Small ship draught T1 (m)</t>
  </si>
  <si>
    <t>CF1</t>
  </si>
  <si>
    <t>ITTC-57</t>
  </si>
  <si>
    <t>PE2 (W)</t>
  </si>
  <si>
    <t>RT2·U2</t>
  </si>
  <si>
    <t>Wetted surface S1 (m^2)</t>
  </si>
  <si>
    <t>RT1 (N)</t>
  </si>
  <si>
    <t>kN → N</t>
  </si>
  <si>
    <t>PE2 (MW)</t>
  </si>
  <si>
    <t>/1E6</t>
  </si>
  <si>
    <t>Displacement mass Δ1 (t, optional)</t>
  </si>
  <si>
    <t>CT1</t>
  </si>
  <si>
    <t>RT1/(0.5ρU1^2S1)</t>
  </si>
  <si>
    <t>RW1 (N) approx</t>
  </si>
  <si>
    <t>RT1-(1+k)RF1</t>
  </si>
  <si>
    <t>Measured total resistance RT1 (kN)</t>
  </si>
  <si>
    <t>CR</t>
  </si>
  <si>
    <t>CT1-(1+k)CF1</t>
  </si>
  <si>
    <t>RF1 (N)</t>
  </si>
  <si>
    <t>0.5ρU1^2S1CF1</t>
  </si>
  <si>
    <t>Speed U1 (knots)</t>
  </si>
  <si>
    <t>B2</t>
  </si>
  <si>
    <t>α·B1</t>
  </si>
  <si>
    <t>Comment</t>
  </si>
  <si>
    <t>Chain: CF → RF → CT/CR → RT → PE</t>
  </si>
  <si>
    <t>Larger similar ship length L2 (m)</t>
  </si>
  <si>
    <t>T2</t>
  </si>
  <si>
    <t>α·T1</t>
  </si>
  <si>
    <t>Form factor k</t>
  </si>
  <si>
    <t>S2</t>
  </si>
  <si>
    <t>α^2·S1</t>
  </si>
  <si>
    <t>Water density ρ (kg/m^3)</t>
  </si>
  <si>
    <t>Δ2</t>
  </si>
  <si>
    <t>α^3·Δ1</t>
  </si>
  <si>
    <t>Kinematic viscosity ν (m^2/s)</t>
  </si>
  <si>
    <t>U2 (knots)</t>
  </si>
  <si>
    <t>U1√α</t>
  </si>
  <si>
    <t>Scale factor α</t>
  </si>
  <si>
    <t>U2 (m/s)</t>
  </si>
  <si>
    <t>Re2</t>
  </si>
  <si>
    <t>U2·L2/ν</t>
  </si>
  <si>
    <t>CF2</t>
  </si>
  <si>
    <t>CT2</t>
  </si>
  <si>
    <t>(1+k)CF2+CR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</si>
</sst>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1F1F1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200" workbookViewId="0">
      <selection activeCell="A8" sqref="A8"/>
    </sheetView>
  </sheetViews>
  <sheetFormatPr baseColWidth="10" defaultColWidth="8.83203125" defaultRowHeight="15"/>
  <cols>
    <col min="1" max="1" width="54.6640625" bestFit="1" customWidth="1"/>
    <col min="2" max="2" width="53.5" bestFit="1" customWidth="1"/>
  </cols>
  <sheetData>
    <row r="1" spans="1:2" ht="18">
      <c r="A1" s="1" t="s">
        <v>0</v>
      </c>
    </row>
    <row r="3" spans="1:2">
      <c r="A3" t="s">
        <v>1</v>
      </c>
    </row>
    <row r="7" spans="1:2">
      <c r="A7" s="2" t="s">
        <v>2</v>
      </c>
      <c r="B7" s="2" t="s">
        <v>3</v>
      </c>
    </row>
    <row r="8" spans="1:2">
      <c r="A8" t="s">
        <v>4</v>
      </c>
      <c r="B8" t="s">
        <v>5</v>
      </c>
    </row>
    <row r="9" spans="1:2">
      <c r="A9" t="s">
        <v>6</v>
      </c>
      <c r="B9" t="s">
        <v>7</v>
      </c>
    </row>
    <row r="10" spans="1:2">
      <c r="A10" t="s">
        <v>8</v>
      </c>
      <c r="B10" t="s">
        <v>9</v>
      </c>
    </row>
    <row r="11" spans="1:2">
      <c r="A11" t="s">
        <v>8</v>
      </c>
      <c r="B11" t="s">
        <v>10</v>
      </c>
    </row>
    <row r="12" spans="1:2">
      <c r="A12" t="s">
        <v>8</v>
      </c>
      <c r="B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200" zoomScaleNormal="200" workbookViewId="0">
      <selection activeCell="C13" sqref="C13"/>
    </sheetView>
  </sheetViews>
  <sheetFormatPr baseColWidth="10" defaultColWidth="8.83203125" defaultRowHeight="15"/>
  <cols>
    <col min="1" max="1" width="27.5" bestFit="1" customWidth="1"/>
    <col min="2" max="2" width="10.6640625" bestFit="1" customWidth="1"/>
    <col min="4" max="4" width="23.1640625" bestFit="1" customWidth="1"/>
    <col min="5" max="5" width="22" bestFit="1" customWidth="1"/>
  </cols>
  <sheetData>
    <row r="1" spans="1:5" ht="18">
      <c r="A1" s="1" t="s">
        <v>12</v>
      </c>
    </row>
    <row r="3" spans="1:5">
      <c r="A3" s="2" t="s">
        <v>13</v>
      </c>
      <c r="B3" s="2" t="s">
        <v>14</v>
      </c>
      <c r="D3" s="2" t="s">
        <v>15</v>
      </c>
      <c r="E3" s="2" t="s">
        <v>14</v>
      </c>
    </row>
    <row r="4" spans="1:5">
      <c r="A4" t="s">
        <v>16</v>
      </c>
      <c r="B4" s="3">
        <v>180</v>
      </c>
      <c r="D4" t="s">
        <v>17</v>
      </c>
      <c r="E4">
        <f>B10^3</f>
        <v>91125</v>
      </c>
    </row>
    <row r="5" spans="1:5">
      <c r="A5" t="s">
        <v>18</v>
      </c>
      <c r="B5" s="3">
        <v>4</v>
      </c>
      <c r="D5" t="s">
        <v>19</v>
      </c>
      <c r="E5">
        <f>B10^3.5</f>
        <v>611285.08334900532</v>
      </c>
    </row>
    <row r="6" spans="1:5">
      <c r="A6" t="s">
        <v>20</v>
      </c>
      <c r="B6" s="3">
        <v>0</v>
      </c>
      <c r="D6" t="s">
        <v>21</v>
      </c>
      <c r="E6">
        <f>IF(B6="","",B6*B11)</f>
        <v>0</v>
      </c>
    </row>
    <row r="7" spans="1:5">
      <c r="A7" t="s">
        <v>22</v>
      </c>
      <c r="B7" s="3">
        <v>0</v>
      </c>
      <c r="D7" t="s">
        <v>23</v>
      </c>
      <c r="E7">
        <f>IF(B7="","",B7*E4)</f>
        <v>0</v>
      </c>
    </row>
    <row r="8" spans="1:5">
      <c r="A8" t="s">
        <v>24</v>
      </c>
      <c r="B8" s="3">
        <v>0</v>
      </c>
      <c r="D8" t="s">
        <v>25</v>
      </c>
      <c r="E8">
        <f>IF(B8="","",B8*E5)</f>
        <v>0</v>
      </c>
    </row>
    <row r="9" spans="1:5">
      <c r="A9" t="s">
        <v>26</v>
      </c>
      <c r="B9" s="3" t="s">
        <v>27</v>
      </c>
      <c r="D9" t="s">
        <v>28</v>
      </c>
      <c r="E9" t="str">
        <f>"Use for fast MCQ scaling questions"</f>
        <v>Use for fast MCQ scaling questions</v>
      </c>
    </row>
    <row r="10" spans="1:5">
      <c r="A10" t="s">
        <v>29</v>
      </c>
      <c r="B10">
        <f>B4/B5</f>
        <v>45</v>
      </c>
    </row>
    <row r="11" spans="1:5">
      <c r="A11" t="s">
        <v>30</v>
      </c>
      <c r="B11">
        <f>SQRT(B10)</f>
        <v>6.7082039324993694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zoomScale="142" workbookViewId="0">
      <selection activeCell="G11" sqref="G11"/>
    </sheetView>
  </sheetViews>
  <sheetFormatPr baseColWidth="10" defaultColWidth="8.83203125" defaultRowHeight="15"/>
  <cols>
    <col min="1" max="1" width="27.6640625" bestFit="1" customWidth="1"/>
    <col min="2" max="2" width="11.6640625" bestFit="1" customWidth="1"/>
    <col min="4" max="4" width="7.83203125" bestFit="1" customWidth="1"/>
    <col min="5" max="5" width="14.83203125" bestFit="1" customWidth="1"/>
    <col min="6" max="6" width="11.6640625" bestFit="1" customWidth="1"/>
    <col min="8" max="8" width="22" customWidth="1"/>
    <col min="9" max="9" width="28.5" bestFit="1" customWidth="1"/>
    <col min="10" max="10" width="56.5" bestFit="1" customWidth="1"/>
  </cols>
  <sheetData>
    <row r="1" spans="1:10" ht="18">
      <c r="A1" s="1" t="s">
        <v>31</v>
      </c>
    </row>
    <row r="3" spans="1:10">
      <c r="A3" s="2" t="s">
        <v>13</v>
      </c>
      <c r="B3" s="2" t="s">
        <v>14</v>
      </c>
      <c r="D3" s="2" t="s">
        <v>32</v>
      </c>
      <c r="E3" s="2" t="s">
        <v>33</v>
      </c>
      <c r="F3" s="2" t="s">
        <v>14</v>
      </c>
      <c r="H3" s="2" t="s">
        <v>34</v>
      </c>
      <c r="I3" s="2" t="s">
        <v>35</v>
      </c>
      <c r="J3" s="2" t="s">
        <v>14</v>
      </c>
    </row>
    <row r="4" spans="1:10">
      <c r="A4" t="s">
        <v>36</v>
      </c>
      <c r="B4" s="3">
        <v>65</v>
      </c>
      <c r="D4" t="s">
        <v>37</v>
      </c>
      <c r="E4" t="s">
        <v>38</v>
      </c>
      <c r="F4">
        <f>B10*0.514444</f>
        <v>4.0126632000000004</v>
      </c>
      <c r="H4" t="s">
        <v>39</v>
      </c>
      <c r="I4" t="s">
        <v>40</v>
      </c>
      <c r="J4">
        <f>0.5*$B$13*F15^2*F12*F18</f>
        <v>383077.00733004697</v>
      </c>
    </row>
    <row r="5" spans="1:10">
      <c r="A5" t="s">
        <v>41</v>
      </c>
      <c r="B5" s="3">
        <v>6</v>
      </c>
      <c r="D5" t="s">
        <v>42</v>
      </c>
      <c r="E5" t="s">
        <v>43</v>
      </c>
      <c r="F5">
        <f>F4*$B$4/$B$14</f>
        <v>219179082.35294122</v>
      </c>
      <c r="H5" t="s">
        <v>44</v>
      </c>
      <c r="I5" t="s">
        <v>45</v>
      </c>
      <c r="J5">
        <f>J4/1000</f>
        <v>383.07700733004697</v>
      </c>
    </row>
    <row r="6" spans="1:10">
      <c r="A6" t="s">
        <v>46</v>
      </c>
      <c r="B6" s="3">
        <v>2</v>
      </c>
      <c r="D6" t="s">
        <v>47</v>
      </c>
      <c r="E6" t="s">
        <v>48</v>
      </c>
      <c r="F6">
        <f>0.075/(LOG10(F5)-2)^2</f>
        <v>1.865405599624411E-3</v>
      </c>
      <c r="H6" t="s">
        <v>49</v>
      </c>
      <c r="I6" t="s">
        <v>50</v>
      </c>
      <c r="J6">
        <f>J4*F15</f>
        <v>2891518.8958312906</v>
      </c>
    </row>
    <row r="7" spans="1:10">
      <c r="A7" t="s">
        <v>51</v>
      </c>
      <c r="B7" s="3">
        <v>369</v>
      </c>
      <c r="D7" t="s">
        <v>52</v>
      </c>
      <c r="E7" t="s">
        <v>53</v>
      </c>
      <c r="F7">
        <f>B9*1000</f>
        <v>10000</v>
      </c>
      <c r="H7" t="s">
        <v>54</v>
      </c>
      <c r="I7" t="s">
        <v>55</v>
      </c>
      <c r="J7">
        <f>J6/1000000</f>
        <v>2.8915188958312905</v>
      </c>
    </row>
    <row r="8" spans="1:10">
      <c r="A8" t="s">
        <v>56</v>
      </c>
      <c r="B8" s="3">
        <v>438</v>
      </c>
      <c r="D8" t="s">
        <v>57</v>
      </c>
      <c r="E8" t="s">
        <v>58</v>
      </c>
      <c r="F8">
        <f>F7/(0.5*$B$13*F4^2*$B$7)</f>
        <v>3.2840846733260365E-3</v>
      </c>
      <c r="H8" t="s">
        <v>59</v>
      </c>
      <c r="I8" t="s">
        <v>60</v>
      </c>
      <c r="J8">
        <f>F7-(1+$B$12)*J9</f>
        <v>3751.8475809921974</v>
      </c>
    </row>
    <row r="9" spans="1:10">
      <c r="A9" t="s">
        <v>61</v>
      </c>
      <c r="B9" s="3">
        <v>10</v>
      </c>
      <c r="D9" t="s">
        <v>62</v>
      </c>
      <c r="E9" t="s">
        <v>63</v>
      </c>
      <c r="F9">
        <f>F8-(1+$B$12)*F6</f>
        <v>1.2321385137391842E-3</v>
      </c>
      <c r="H9" t="s">
        <v>64</v>
      </c>
      <c r="I9" t="s">
        <v>65</v>
      </c>
      <c r="J9">
        <f>0.5*$B$13*F4^2*$B$7*F6</f>
        <v>5680.1385627343652</v>
      </c>
    </row>
    <row r="10" spans="1:10">
      <c r="A10" t="s">
        <v>66</v>
      </c>
      <c r="B10" s="3">
        <v>7.8</v>
      </c>
      <c r="D10" t="s">
        <v>67</v>
      </c>
      <c r="E10" t="s">
        <v>68</v>
      </c>
      <c r="F10">
        <f>$B$15*$B$5</f>
        <v>21.23076923076923</v>
      </c>
      <c r="H10" t="s">
        <v>69</v>
      </c>
      <c r="I10" t="s">
        <v>70</v>
      </c>
      <c r="J10" t="str">
        <f>"Use CR if the exercise is written in coefficients; use RW if written in forces"</f>
        <v>Use CR if the exercise is written in coefficients; use RW if written in forces</v>
      </c>
    </row>
    <row r="11" spans="1:10">
      <c r="A11" t="s">
        <v>71</v>
      </c>
      <c r="B11" s="3">
        <v>230</v>
      </c>
      <c r="D11" t="s">
        <v>72</v>
      </c>
      <c r="E11" t="s">
        <v>73</v>
      </c>
      <c r="F11">
        <f>$B$15*$B$6</f>
        <v>7.0769230769230766</v>
      </c>
    </row>
    <row r="12" spans="1:10">
      <c r="A12" t="s">
        <v>74</v>
      </c>
      <c r="B12" s="3">
        <v>0.1</v>
      </c>
      <c r="D12" t="s">
        <v>75</v>
      </c>
      <c r="E12" t="s">
        <v>76</v>
      </c>
      <c r="F12">
        <f>$B$15^2*$B$7</f>
        <v>4620.1420118343194</v>
      </c>
    </row>
    <row r="13" spans="1:10">
      <c r="A13" t="s">
        <v>77</v>
      </c>
      <c r="B13" s="3">
        <v>1025</v>
      </c>
      <c r="D13" t="s">
        <v>78</v>
      </c>
      <c r="E13" t="s">
        <v>79</v>
      </c>
      <c r="F13">
        <f>IF(B8="","",$B$15^3*$B$8)</f>
        <v>19405.174328629946</v>
      </c>
    </row>
    <row r="14" spans="1:10">
      <c r="A14" t="s">
        <v>80</v>
      </c>
      <c r="B14" s="3">
        <v>1.19E-6</v>
      </c>
      <c r="D14" t="s">
        <v>81</v>
      </c>
      <c r="E14" t="s">
        <v>82</v>
      </c>
      <c r="F14">
        <f>$B$10*SQRT($B$15)</f>
        <v>14.67242311276498</v>
      </c>
    </row>
    <row r="15" spans="1:10">
      <c r="A15" t="s">
        <v>83</v>
      </c>
      <c r="B15">
        <f>B11/B4</f>
        <v>3.5384615384615383</v>
      </c>
      <c r="D15" t="s">
        <v>84</v>
      </c>
      <c r="E15" t="s">
        <v>38</v>
      </c>
      <c r="F15">
        <f>F14*0.514444</f>
        <v>7.5481400358232671</v>
      </c>
    </row>
    <row r="16" spans="1:10">
      <c r="D16" t="s">
        <v>85</v>
      </c>
      <c r="E16" t="s">
        <v>86</v>
      </c>
      <c r="F16">
        <f>F15*$B$11/$B$14</f>
        <v>1458884208.604497</v>
      </c>
    </row>
    <row r="17" spans="4:6">
      <c r="D17" t="s">
        <v>87</v>
      </c>
      <c r="E17" t="s">
        <v>48</v>
      </c>
      <c r="F17">
        <f>0.075/(LOG10(F16)-2)^2</f>
        <v>1.4613275915190383E-3</v>
      </c>
    </row>
    <row r="18" spans="4:6">
      <c r="D18" t="s">
        <v>88</v>
      </c>
      <c r="E18" t="s">
        <v>89</v>
      </c>
      <c r="F18">
        <f>(1+$B$12)*F17+F9</f>
        <v>2.8395988644101264E-3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Scaling_Quick</vt:lpstr>
      <vt:lpstr>Effective_Power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2026-05-14T10:30:29Z</dcterms:modified>
</cp:coreProperties>
</file>